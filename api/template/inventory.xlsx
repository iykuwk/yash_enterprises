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s" sheetId="1" r:id="rId4"/>
    <sheet state="visible" name="Sales" sheetId="2" r:id="rId5"/>
    <sheet state="visible" name="JUBILANT STOCK APRIL 26" sheetId="3" r:id="rId6"/>
    <sheet state="visible" name="Sheet2" sheetId="4" r:id="rId7"/>
    <sheet state="hidden" name="JUBILANT" sheetId="5" r:id="rId8"/>
    <sheet state="visible" name="Sheet3" sheetId="6" r:id="rId9"/>
    <sheet state="visible" name="Sheet4" sheetId="7" r:id="rId10"/>
    <sheet state="visible" name="Sheet5" sheetId="8" r:id="rId11"/>
    <sheet state="visible" name="Sheet6" sheetId="9" r:id="rId12"/>
    <sheet state="visible" name="Sheet7" sheetId="10" r:id="rId13"/>
  </sheets>
  <definedNames/>
  <calcPr/>
  <extLst>
    <ext uri="GoogleSheetsCustomDataVersion2">
      <go:sheetsCustomData xmlns:go="http://customooxmlschemas.google.com/" r:id="rId14" roundtripDataChecksum="I1xbNyC8l0oSyt8KFLjIWOJQSCSdciTa3eMVDamIXn8="/>
    </ext>
  </extLst>
</workbook>
</file>

<file path=xl/sharedStrings.xml><?xml version="1.0" encoding="utf-8"?>
<sst xmlns="http://schemas.openxmlformats.org/spreadsheetml/2006/main" count="819" uniqueCount="274">
  <si>
    <t>YASH ENTERPRISES</t>
  </si>
  <si>
    <t>JUBILANT</t>
  </si>
  <si>
    <t>Date</t>
  </si>
  <si>
    <t>31.03.2026</t>
  </si>
  <si>
    <t>Bill No</t>
  </si>
  <si>
    <t>UP251006053</t>
  </si>
  <si>
    <t>Sr. No.</t>
  </si>
  <si>
    <t>Jubifix</t>
  </si>
  <si>
    <t>Qty</t>
  </si>
  <si>
    <t>Grand Total</t>
  </si>
  <si>
    <t>1</t>
  </si>
  <si>
    <t>JUBIFIX ACRO BLACK 450 GMS</t>
  </si>
  <si>
    <t>2</t>
  </si>
  <si>
    <t>JUBIFIX ACRO WHITE 450 GMS</t>
  </si>
  <si>
    <t>3</t>
  </si>
  <si>
    <t>JUBIFIX CONSTRO 360 GMS</t>
  </si>
  <si>
    <t>4</t>
  </si>
  <si>
    <t>JUBIFIX CRAXO 1KG</t>
  </si>
  <si>
    <t>5</t>
  </si>
  <si>
    <t>JUBIFIX CRAXO 500 GMS</t>
  </si>
  <si>
    <t>6</t>
  </si>
  <si>
    <t>JUBIFIX GP PRO BLACK 260 ML</t>
  </si>
  <si>
    <t>7</t>
  </si>
  <si>
    <t>JUBIFIX GP PRO CLEAR 260 ML</t>
  </si>
  <si>
    <t>8</t>
  </si>
  <si>
    <t>JUBIFIX GP PRO WHITE 260 ML</t>
  </si>
  <si>
    <t>9</t>
  </si>
  <si>
    <t>JUBIFIX GP ULTRA BLACK</t>
  </si>
  <si>
    <t>10</t>
  </si>
  <si>
    <t>JUBIFIX GP ULTRA CLEAR</t>
  </si>
  <si>
    <t>11</t>
  </si>
  <si>
    <t>JUBIFIX GP ULTRA WHITE</t>
  </si>
  <si>
    <t>12</t>
  </si>
  <si>
    <t>JUBIFIX NEUTRO BLACK 270 ML</t>
  </si>
  <si>
    <t>13</t>
  </si>
  <si>
    <t>JUBIFIX NEUTRO CLEAR 270 ML</t>
  </si>
  <si>
    <t>14</t>
  </si>
  <si>
    <t>JUBIFIX NEUTRO WHITE 270 ML</t>
  </si>
  <si>
    <t>15</t>
  </si>
  <si>
    <t>JUBIFIX PASTO 450 GM</t>
  </si>
  <si>
    <t>16</t>
  </si>
  <si>
    <t>JUBIFIX PU BLACK-600 ML</t>
  </si>
  <si>
    <t>17</t>
  </si>
  <si>
    <t>JUBIFIX WEATHO BLACK 270 ML</t>
  </si>
  <si>
    <t>18</t>
  </si>
  <si>
    <t>JUBIFIX WEATHO CLEAR 270 ML</t>
  </si>
  <si>
    <t>19</t>
  </si>
  <si>
    <t>JUBIFIX WEATHO WHITE 270 ML</t>
  </si>
  <si>
    <t>20</t>
  </si>
  <si>
    <t>BOTTLE GIFT SET</t>
  </si>
  <si>
    <t>21</t>
  </si>
  <si>
    <t>DUFFLE BAG</t>
  </si>
  <si>
    <t>22</t>
  </si>
  <si>
    <t>GIFT SET 5%</t>
  </si>
  <si>
    <t>23</t>
  </si>
  <si>
    <t>JUBI 90 (292 GM / 400 ML)</t>
  </si>
  <si>
    <t>24</t>
  </si>
  <si>
    <t>JUBI 90 - 32 GMS</t>
  </si>
  <si>
    <t>25</t>
  </si>
  <si>
    <t>JUBI 90 - 64 GMS</t>
  </si>
  <si>
    <t>26</t>
  </si>
  <si>
    <t>JUBIBOND ALL IN ONE 100 ML</t>
  </si>
  <si>
    <t>27</t>
  </si>
  <si>
    <t>JUBIBOND ALL IN ONE 50 ML</t>
  </si>
  <si>
    <t>28</t>
  </si>
  <si>
    <t>JUBIBOND CPVC 100 ML</t>
  </si>
  <si>
    <t>29</t>
  </si>
  <si>
    <t>JUBIBOND CPVC 10 ML</t>
  </si>
  <si>
    <t>30</t>
  </si>
  <si>
    <t>JUBIBOND CPVC 200 ML</t>
  </si>
  <si>
    <t>31</t>
  </si>
  <si>
    <t>JUBIBOND CPVC 20 ML</t>
  </si>
  <si>
    <t>32</t>
  </si>
  <si>
    <t>JUBIBOND CPVC 50 ML</t>
  </si>
  <si>
    <t>33</t>
  </si>
  <si>
    <t>JUBIBOND PVC 100 ML</t>
  </si>
  <si>
    <t>34</t>
  </si>
  <si>
    <t>JUBIBOND PVC 200 ML</t>
  </si>
  <si>
    <t>35</t>
  </si>
  <si>
    <t>JUBIBOND PVC 50 ML</t>
  </si>
  <si>
    <t>36</t>
  </si>
  <si>
    <t>JUBIBOND PVC TUBE 10 ML</t>
  </si>
  <si>
    <t>37</t>
  </si>
  <si>
    <t>JUBIBOND UPVC 100 ML</t>
  </si>
  <si>
    <t>38</t>
  </si>
  <si>
    <t>JUBIBOND UPVC 1 LTR</t>
  </si>
  <si>
    <t>39</t>
  </si>
  <si>
    <t>JUBIBOND UPVC 200 ML</t>
  </si>
  <si>
    <t>40</t>
  </si>
  <si>
    <t>JUBIBOND UPVC 50 ML</t>
  </si>
  <si>
    <t>41</t>
  </si>
  <si>
    <t>JUBICLEAN 1 LTR</t>
  </si>
  <si>
    <t>42</t>
  </si>
  <si>
    <t>JUBICLEAN 500 ML</t>
  </si>
  <si>
    <t>43</t>
  </si>
  <si>
    <t>JUBICLEAN 5 LTR</t>
  </si>
  <si>
    <t>44</t>
  </si>
  <si>
    <t>JUBICLEAN BLASTO 40 GM</t>
  </si>
  <si>
    <t>45</t>
  </si>
  <si>
    <t>JUBIFAST 15 GM</t>
  </si>
  <si>
    <t>46</t>
  </si>
  <si>
    <t>JUBIFLEX 20 GMS</t>
  </si>
  <si>
    <t>47</t>
  </si>
  <si>
    <t>JUBIQUIK LV 111 20 GMS</t>
  </si>
  <si>
    <t>48</t>
  </si>
  <si>
    <t>JUBIQUIK LV 111 - 50 GM ( 120 PIC )</t>
  </si>
  <si>
    <t>49</t>
  </si>
  <si>
    <t>JUBIQUIK MAESTRO 125 GM</t>
  </si>
  <si>
    <t>50</t>
  </si>
  <si>
    <t>JUBIQUIK MAESTRO 50GM</t>
  </si>
  <si>
    <t>51</t>
  </si>
  <si>
    <t>JUBISEAL RAPID 1 KG</t>
  </si>
  <si>
    <t>52</t>
  </si>
  <si>
    <t>JUBISEAL RAPID 25 GM ( 40 UNIT - 1 JAR)</t>
  </si>
  <si>
    <t>53</t>
  </si>
  <si>
    <t>JUBISEAL RAPID 25 GM (NOT IN USE)</t>
  </si>
  <si>
    <t>54</t>
  </si>
  <si>
    <t>JUBISEAL RAPID 60 GM ( 30 UNIT = 1 JAR)</t>
  </si>
  <si>
    <t>55</t>
  </si>
  <si>
    <t>JUBISEAL RAPID 60 GM (NOT IN USE)</t>
  </si>
  <si>
    <t>56</t>
  </si>
  <si>
    <t>JUBISEAL RAPID 90 GM (30 UNIT - 1 JAR)</t>
  </si>
  <si>
    <t>57</t>
  </si>
  <si>
    <t>JUBISEAL RAPID 90 GM (NOT IN USE)</t>
  </si>
  <si>
    <t>58</t>
  </si>
  <si>
    <t>JUBISEALRAPID WHITE 25 GM</t>
  </si>
  <si>
    <t>59</t>
  </si>
  <si>
    <t>JUBISEAL RAPID WHITE 60 GM</t>
  </si>
  <si>
    <t>60</t>
  </si>
  <si>
    <t>JUBISEALRAPID WHITE 90 GM</t>
  </si>
  <si>
    <t>61</t>
  </si>
  <si>
    <t>JUBITAPE TEFFO 10 Mtr</t>
  </si>
  <si>
    <t>62</t>
  </si>
  <si>
    <t>JUBITAPE TEFFO 5 Mtr</t>
  </si>
  <si>
    <t>63</t>
  </si>
  <si>
    <t>JUBITITE 1.8 KG</t>
  </si>
  <si>
    <t>64</t>
  </si>
  <si>
    <t>JUBITITE 450 GMS</t>
  </si>
  <si>
    <t>65</t>
  </si>
  <si>
    <t>JUBITITE 900 GMS</t>
  </si>
  <si>
    <t>66</t>
  </si>
  <si>
    <t>JUBITITE INSTA CLEAR 12 GMS</t>
  </si>
  <si>
    <t>67</t>
  </si>
  <si>
    <t>JUBITITE INSTA CLEAR 180 GMS</t>
  </si>
  <si>
    <t>68</t>
  </si>
  <si>
    <t>JUBITITE INSTA CLEAR 1 KG</t>
  </si>
  <si>
    <t>69</t>
  </si>
  <si>
    <t>JUBITITE INSTA CLEAR 36 GMS</t>
  </si>
  <si>
    <t>70</t>
  </si>
  <si>
    <t>JUBITITE INSTA CLEAR 450 GMS</t>
  </si>
  <si>
    <t>71</t>
  </si>
  <si>
    <t>JUBITITE INSTA CLEAR 90 GMS</t>
  </si>
  <si>
    <t>72</t>
  </si>
  <si>
    <t>JUBITITE NOT IN USE (1.8)XX</t>
  </si>
  <si>
    <t>73</t>
  </si>
  <si>
    <t>JUBITITE RESIN + HARDENER SET 450 GMS</t>
  </si>
  <si>
    <t>74</t>
  </si>
  <si>
    <t>JUBITITE TUBE PACK 13 GMS</t>
  </si>
  <si>
    <t>75</t>
  </si>
  <si>
    <t>JUBITITE TUBE PACK 180 GMS</t>
  </si>
  <si>
    <t>76</t>
  </si>
  <si>
    <t>JUBITITE TUBE PACK 36 GMS</t>
  </si>
  <si>
    <t>77</t>
  </si>
  <si>
    <t>JUBITITE TUBE PACK 90 GMS</t>
  </si>
  <si>
    <t>78</t>
  </si>
  <si>
    <t>JUBITITE UNO 1.8 KG</t>
  </si>
  <si>
    <t>79</t>
  </si>
  <si>
    <t>JUBITITE UNO 450 GM</t>
  </si>
  <si>
    <t>80</t>
  </si>
  <si>
    <t>MNT BROCHURES</t>
  </si>
  <si>
    <t>81</t>
  </si>
  <si>
    <t>MNT - CAP</t>
  </si>
  <si>
    <t>82</t>
  </si>
  <si>
    <t>MNT EASY CLICK PEN</t>
  </si>
  <si>
    <t>83</t>
  </si>
  <si>
    <t>MNT ESTIMATE PAD</t>
  </si>
  <si>
    <t>84</t>
  </si>
  <si>
    <t>MNT JUBIFIX ACRO POSTERS</t>
  </si>
  <si>
    <t>85</t>
  </si>
  <si>
    <t>MNT JUBIQUICK L V 11 POSTER</t>
  </si>
  <si>
    <t>86</t>
  </si>
  <si>
    <t>MNT JUBITITE INSTA CLEAR POSTERS</t>
  </si>
  <si>
    <t>87</t>
  </si>
  <si>
    <t>POCKET DIARIES</t>
  </si>
  <si>
    <t>88</t>
  </si>
  <si>
    <t>SEALANT GUN</t>
  </si>
  <si>
    <t>89</t>
  </si>
  <si>
    <t>WATER JUG CPD</t>
  </si>
  <si>
    <t xml:space="preserve">DELIVERY CHALLAN NO </t>
  </si>
  <si>
    <t xml:space="preserve">BASIC AMT </t>
  </si>
  <si>
    <r>
      <rPr>
        <rFont val="Arial"/>
        <i/>
        <color theme="1"/>
        <sz val="9.0"/>
      </rPr>
      <t xml:space="preserve">JUBIFIX </t>
    </r>
    <r>
      <rPr>
        <rFont val="Arial"/>
        <b/>
        <i/>
        <color theme="1"/>
        <sz val="9.0"/>
      </rPr>
      <t xml:space="preserve">ACRO </t>
    </r>
    <r>
      <rPr>
        <rFont val="Arial"/>
        <i/>
        <color theme="1"/>
        <sz val="9.0"/>
      </rPr>
      <t>BLACK 450 GMS</t>
    </r>
  </si>
  <si>
    <r>
      <rPr>
        <rFont val="Arial"/>
        <i/>
        <color theme="1"/>
        <sz val="9.0"/>
      </rPr>
      <t xml:space="preserve">JUBIFIX </t>
    </r>
    <r>
      <rPr>
        <rFont val="Arial"/>
        <b/>
        <i/>
        <color theme="1"/>
        <sz val="9.0"/>
      </rPr>
      <t xml:space="preserve">GP PRO </t>
    </r>
    <r>
      <rPr>
        <rFont val="Arial"/>
        <i/>
        <color theme="1"/>
        <sz val="9.0"/>
      </rPr>
      <t>BLACK 260 ML</t>
    </r>
  </si>
  <si>
    <r>
      <rPr>
        <rFont val="Arial"/>
        <i/>
        <color theme="1"/>
        <sz val="9.0"/>
      </rPr>
      <t xml:space="preserve">JUBIFIX </t>
    </r>
    <r>
      <rPr>
        <rFont val="Arial"/>
        <b/>
        <i/>
        <color theme="1"/>
        <sz val="9.0"/>
      </rPr>
      <t xml:space="preserve">NEUTRO </t>
    </r>
    <r>
      <rPr>
        <rFont val="Arial"/>
        <i/>
        <color theme="1"/>
        <sz val="9.0"/>
      </rPr>
      <t>BLACK 270 ML</t>
    </r>
  </si>
  <si>
    <r>
      <rPr>
        <rFont val="Arial"/>
        <color theme="1"/>
        <sz val="9.0"/>
      </rPr>
      <t xml:space="preserve">JUBIBOND </t>
    </r>
    <r>
      <rPr>
        <rFont val="Arial"/>
        <b/>
        <color theme="1"/>
        <sz val="9.0"/>
      </rPr>
      <t xml:space="preserve">ALL IN ONE </t>
    </r>
    <r>
      <rPr>
        <rFont val="Arial"/>
        <color theme="1"/>
        <sz val="9.0"/>
      </rPr>
      <t>100 ML</t>
    </r>
  </si>
  <si>
    <r>
      <rPr>
        <rFont val="Arial"/>
        <color theme="1"/>
        <sz val="9.0"/>
      </rPr>
      <t xml:space="preserve">JUBIQUIK </t>
    </r>
    <r>
      <rPr>
        <rFont val="Arial"/>
        <b/>
        <color theme="1"/>
        <sz val="9.0"/>
      </rPr>
      <t xml:space="preserve">LV 111 </t>
    </r>
    <r>
      <rPr>
        <rFont val="Arial"/>
        <color theme="1"/>
        <sz val="9.0"/>
      </rPr>
      <t>20 GMS</t>
    </r>
  </si>
  <si>
    <r>
      <rPr>
        <rFont val="Arial"/>
        <color theme="1"/>
        <sz val="9.0"/>
      </rPr>
      <t xml:space="preserve">JUBISEAL </t>
    </r>
    <r>
      <rPr>
        <rFont val="Arial"/>
        <b/>
        <color theme="1"/>
        <sz val="9.0"/>
      </rPr>
      <t xml:space="preserve">RAPID </t>
    </r>
    <r>
      <rPr>
        <rFont val="Arial"/>
        <color theme="1"/>
        <sz val="9.0"/>
      </rPr>
      <t>1 KG</t>
    </r>
  </si>
  <si>
    <t>JUBILANT STOCK APRIL 2026</t>
  </si>
  <si>
    <t>Opening Quantity</t>
  </si>
  <si>
    <t>Purchases</t>
  </si>
  <si>
    <t>Sales</t>
  </si>
  <si>
    <t>Balance</t>
  </si>
  <si>
    <t>52/1, Rupa Bhavani Road,</t>
  </si>
  <si>
    <t>In Front of Rupa Bhavani Water Works,</t>
  </si>
  <si>
    <t>Bhavani Peth, SOLAPUR - 413 002</t>
  </si>
  <si>
    <t>Stock Group Summary</t>
  </si>
  <si>
    <t>1-Apr-25 to 4-Apr-26</t>
  </si>
  <si>
    <t/>
  </si>
  <si>
    <t>YASH ENTERPRISES - 2024-25</t>
  </si>
  <si>
    <t>Particulars</t>
  </si>
  <si>
    <t>Closing Balance</t>
  </si>
  <si>
    <t>Quantity</t>
  </si>
  <si>
    <t>Rate</t>
  </si>
  <si>
    <t>Value</t>
  </si>
  <si>
    <t>Content</t>
  </si>
  <si>
    <t>Type</t>
  </si>
  <si>
    <t>Details</t>
  </si>
  <si>
    <t>Owner</t>
  </si>
  <si>
    <t>Status</t>
  </si>
  <si>
    <t>Post date</t>
  </si>
  <si>
    <t>File</t>
  </si>
  <si>
    <t>Notes</t>
  </si>
  <si>
    <t>Email</t>
  </si>
  <si>
    <t>New</t>
  </si>
  <si>
    <t>Social media</t>
  </si>
  <si>
    <t>In progress</t>
  </si>
  <si>
    <t>TV</t>
  </si>
  <si>
    <t>Under review</t>
  </si>
  <si>
    <t>Blog post</t>
  </si>
  <si>
    <t>Published</t>
  </si>
  <si>
    <t>All</t>
  </si>
  <si>
    <t>Suspended</t>
  </si>
  <si>
    <t>Paused</t>
  </si>
  <si>
    <t>Feature</t>
  </si>
  <si>
    <t>Category</t>
  </si>
  <si>
    <t>Size</t>
  </si>
  <si>
    <t>Launch</t>
  </si>
  <si>
    <t>Category 1</t>
  </si>
  <si>
    <t>Not started</t>
  </si>
  <si>
    <t>XS</t>
  </si>
  <si>
    <t>Q1</t>
  </si>
  <si>
    <t>Category 2</t>
  </si>
  <si>
    <t>S</t>
  </si>
  <si>
    <t>Q2</t>
  </si>
  <si>
    <t>Category 3</t>
  </si>
  <si>
    <t>Blocked</t>
  </si>
  <si>
    <t>M</t>
  </si>
  <si>
    <t>Q3</t>
  </si>
  <si>
    <t>Category 4</t>
  </si>
  <si>
    <t>Launched</t>
  </si>
  <si>
    <t>L</t>
  </si>
  <si>
    <t>Q4</t>
  </si>
  <si>
    <t>XL</t>
  </si>
  <si>
    <t>XXL</t>
  </si>
  <si>
    <t>Applicant</t>
  </si>
  <si>
    <t>Stage</t>
  </si>
  <si>
    <t>Role</t>
  </si>
  <si>
    <t>Team</t>
  </si>
  <si>
    <t>Resume</t>
  </si>
  <si>
    <t>Interviewer</t>
  </si>
  <si>
    <t>Score</t>
  </si>
  <si>
    <t>Hire</t>
  </si>
  <si>
    <t>Team 1</t>
  </si>
  <si>
    <t>Interviewing</t>
  </si>
  <si>
    <t>Team 2</t>
  </si>
  <si>
    <t>Decision needed</t>
  </si>
  <si>
    <t>Team 3</t>
  </si>
  <si>
    <t>No hire</t>
  </si>
  <si>
    <t>Team 4</t>
  </si>
  <si>
    <t>Task</t>
  </si>
  <si>
    <t>Due date</t>
  </si>
  <si>
    <t>Pre-event</t>
  </si>
  <si>
    <t>Day of</t>
  </si>
  <si>
    <t>Post-event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</si>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</sst>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&quot;0&quot; UNIT&quot;"/>
    <numFmt numFmtId="165" formatCode="&quot;&quot;0&quot; NOS&quot;"/>
    <numFmt numFmtId="166" formatCode="&quot;&quot;0"/>
    <numFmt numFmtId="167" formatCode="&quot;&quot;0&quot; Packets&quot;"/>
    <numFmt numFmtId="168" formatCode="&quot;&quot;0&quot; PCS&quot;"/>
    <numFmt numFmtId="169" formatCode="&quot;&quot;0&quot; SET&quot;"/>
    <numFmt numFmtId="170" formatCode="&quot;&quot;0.00"/>
    <numFmt numFmtId="171" formatCode="M/d/yyyy"/>
  </numFmts>
  <fonts count="15">
    <font>
      <sz val="11.0"/>
      <color theme="1"/>
      <name val="Calibri"/>
      <scheme val="minor"/>
    </font>
    <font>
      <b/>
      <sz val="12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sz val="9.0"/>
      <color theme="1"/>
      <name val="Arial"/>
    </font>
    <font>
      <i/>
      <sz val="9.0"/>
      <color theme="1"/>
      <name val="Arial"/>
    </font>
    <font>
      <sz val="12.0"/>
      <color theme="1"/>
      <name val="Calibri"/>
      <scheme val="minor"/>
    </font>
    <font>
      <sz val="12.0"/>
      <color theme="1"/>
      <name val="Calibri"/>
    </font>
    <font>
      <b/>
      <color theme="1"/>
      <name val="Calibri"/>
      <scheme val="minor"/>
    </font>
    <font/>
    <font>
      <sz val="10.0"/>
      <color theme="1"/>
      <name val="Arial"/>
    </font>
    <font>
      <b/>
      <i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center"/>
    </xf>
    <xf borderId="1" fillId="0" fontId="1" numFmtId="49" xfId="0" applyAlignment="1" applyBorder="1" applyFont="1" applyNumberFormat="1">
      <alignment vertical="center"/>
    </xf>
    <xf borderId="1" fillId="0" fontId="1" numFmtId="49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0" fillId="2" fontId="1" numFmtId="49" xfId="0" applyAlignment="1" applyFill="1" applyFont="1" applyNumberFormat="1">
      <alignment horizontal="right" vertical="center"/>
    </xf>
    <xf borderId="1" fillId="2" fontId="1" numFmtId="49" xfId="0" applyAlignment="1" applyBorder="1" applyFont="1" applyNumberFormat="1">
      <alignment horizontal="right" vertical="center"/>
    </xf>
    <xf borderId="1" fillId="2" fontId="3" numFmtId="0" xfId="0" applyAlignment="1" applyBorder="1" applyFont="1">
      <alignment readingOrder="0" vertical="center"/>
    </xf>
    <xf borderId="1" fillId="2" fontId="3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0" fillId="3" fontId="4" numFmtId="49" xfId="0" applyAlignment="1" applyFill="1" applyFont="1" applyNumberFormat="1">
      <alignment horizontal="right" vertical="center"/>
    </xf>
    <xf borderId="1" fillId="3" fontId="4" numFmtId="49" xfId="0" applyAlignment="1" applyBorder="1" applyFont="1" applyNumberFormat="1">
      <alignment horizontal="right"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0" fontId="5" numFmtId="49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49" xfId="0" applyAlignment="1" applyBorder="1" applyFont="1" applyNumberFormat="1">
      <alignment horizontal="center" readingOrder="0" vertical="center"/>
    </xf>
    <xf borderId="1" fillId="0" fontId="8" numFmtId="49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vertical="center"/>
    </xf>
    <xf borderId="1" fillId="0" fontId="7" numFmtId="49" xfId="0" applyAlignment="1" applyBorder="1" applyFont="1" applyNumberFormat="1">
      <alignment vertical="center"/>
    </xf>
    <xf borderId="1" fillId="0" fontId="2" numFmtId="0" xfId="0" applyAlignment="1" applyBorder="1" applyFont="1">
      <alignment readingOrder="0" vertical="center"/>
    </xf>
    <xf borderId="1" fillId="0" fontId="5" numFmtId="49" xfId="0" applyAlignment="1" applyBorder="1" applyFont="1" applyNumberFormat="1">
      <alignment horizontal="left" vertical="center"/>
    </xf>
    <xf borderId="0" fillId="0" fontId="5" numFmtId="49" xfId="0" applyAlignment="1" applyFont="1" applyNumberFormat="1">
      <alignment horizontal="left" vertical="center"/>
    </xf>
    <xf borderId="1" fillId="0" fontId="2" numFmtId="1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1" fillId="0" fontId="3" numFmtId="2" xfId="0" applyAlignment="1" applyBorder="1" applyFont="1" applyNumberFormat="1">
      <alignment vertical="center"/>
    </xf>
    <xf borderId="1" fillId="2" fontId="1" numFmtId="49" xfId="0" applyAlignment="1" applyBorder="1" applyFont="1" applyNumberFormat="1">
      <alignment horizontal="center" vertical="center"/>
    </xf>
    <xf borderId="1" fillId="2" fontId="3" numFmtId="2" xfId="0" applyAlignment="1" applyBorder="1" applyFont="1" applyNumberFormat="1">
      <alignment vertical="center"/>
    </xf>
    <xf borderId="0" fillId="4" fontId="1" numFmtId="49" xfId="0" applyAlignment="1" applyFill="1" applyFont="1" applyNumberFormat="1">
      <alignment horizontal="center" readingOrder="0" vertical="center"/>
    </xf>
    <xf borderId="1" fillId="4" fontId="1" numFmtId="49" xfId="0" applyAlignment="1" applyBorder="1" applyFont="1" applyNumberFormat="1">
      <alignment horizontal="center" readingOrder="0" vertical="center"/>
    </xf>
    <xf borderId="1" fillId="4" fontId="9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1" fillId="4" fontId="9" numFmtId="2" xfId="0" applyAlignment="1" applyBorder="1" applyFont="1" applyNumberForma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vertical="center"/>
    </xf>
    <xf borderId="1" fillId="0" fontId="3" numFmtId="2" xfId="0" applyAlignment="1" applyBorder="1" applyFont="1" applyNumberFormat="1">
      <alignment readingOrder="0" vertical="center"/>
    </xf>
    <xf borderId="1" fillId="0" fontId="8" numFmtId="49" xfId="0" applyAlignment="1" applyBorder="1" applyFont="1" applyNumberFormat="1">
      <alignment horizontal="left" readingOrder="0" vertical="center"/>
    </xf>
    <xf borderId="1" fillId="0" fontId="7" numFmtId="49" xfId="0" applyAlignment="1" applyBorder="1" applyFont="1" applyNumberFormat="1">
      <alignment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2" xfId="0" applyAlignment="1" applyBorder="1" applyFont="1" applyNumberFormat="1">
      <alignment readingOrder="0" vertical="center"/>
    </xf>
    <xf borderId="1" fillId="5" fontId="1" numFmtId="49" xfId="0" applyAlignment="1" applyBorder="1" applyFill="1" applyFont="1" applyNumberFormat="1">
      <alignment vertical="center"/>
    </xf>
    <xf borderId="1" fillId="4" fontId="3" numFmtId="0" xfId="0" applyAlignment="1" applyBorder="1" applyFont="1">
      <alignment vertical="center"/>
    </xf>
    <xf borderId="1" fillId="6" fontId="3" numFmtId="0" xfId="0" applyAlignment="1" applyBorder="1" applyFill="1" applyFont="1">
      <alignment vertical="center"/>
    </xf>
    <xf borderId="1" fillId="0" fontId="1" numFmtId="49" xfId="0" applyAlignment="1" applyBorder="1" applyFont="1" applyNumberFormat="1">
      <alignment readingOrder="0" vertical="center"/>
    </xf>
    <xf borderId="1" fillId="5" fontId="5" numFmtId="49" xfId="0" applyAlignment="1" applyBorder="1" applyFont="1" applyNumberFormat="1">
      <alignment horizontal="center" vertical="center"/>
    </xf>
    <xf borderId="1" fillId="3" fontId="11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vertical="center"/>
    </xf>
    <xf borderId="1" fillId="5" fontId="7" numFmtId="165" xfId="0" applyAlignment="1" applyBorder="1" applyFont="1" applyNumberFormat="1">
      <alignment horizontal="right" vertical="center"/>
    </xf>
    <xf borderId="1" fillId="3" fontId="3" numFmtId="164" xfId="0" applyAlignment="1" applyBorder="1" applyFont="1" applyNumberFormat="1">
      <alignment vertical="center"/>
    </xf>
    <xf borderId="1" fillId="4" fontId="3" numFmtId="164" xfId="0" applyAlignment="1" applyBorder="1" applyFont="1" applyNumberFormat="1">
      <alignment vertical="center"/>
    </xf>
    <xf borderId="1" fillId="6" fontId="2" numFmtId="164" xfId="0" applyAlignment="1" applyBorder="1" applyFont="1" applyNumberFormat="1">
      <alignment vertical="center"/>
    </xf>
    <xf borderId="1" fillId="5" fontId="7" numFmtId="166" xfId="0" applyAlignment="1" applyBorder="1" applyFont="1" applyNumberFormat="1">
      <alignment horizontal="right" vertical="center"/>
    </xf>
    <xf borderId="1" fillId="5" fontId="7" numFmtId="164" xfId="0" applyAlignment="1" applyBorder="1" applyFont="1" applyNumberFormat="1">
      <alignment horizontal="right" vertical="center"/>
    </xf>
    <xf borderId="1" fillId="5" fontId="7" numFmtId="167" xfId="0" applyAlignment="1" applyBorder="1" applyFont="1" applyNumberFormat="1">
      <alignment horizontal="right" vertical="center"/>
    </xf>
    <xf borderId="1" fillId="5" fontId="8" numFmtId="164" xfId="0" applyAlignment="1" applyBorder="1" applyFont="1" applyNumberFormat="1">
      <alignment horizontal="right" vertical="center"/>
    </xf>
    <xf borderId="1" fillId="5" fontId="8" numFmtId="166" xfId="0" applyAlignment="1" applyBorder="1" applyFont="1" applyNumberFormat="1">
      <alignment horizontal="right" vertical="center"/>
    </xf>
    <xf borderId="1" fillId="5" fontId="8" numFmtId="165" xfId="0" applyAlignment="1" applyBorder="1" applyFont="1" applyNumberFormat="1">
      <alignment horizontal="right" vertical="center"/>
    </xf>
    <xf borderId="1" fillId="5" fontId="7" numFmtId="168" xfId="0" applyAlignment="1" applyBorder="1" applyFont="1" applyNumberFormat="1">
      <alignment horizontal="right" vertical="center"/>
    </xf>
    <xf borderId="1" fillId="5" fontId="5" numFmtId="164" xfId="0" applyAlignment="1" applyBorder="1" applyFont="1" applyNumberFormat="1">
      <alignment horizontal="right" vertical="center"/>
    </xf>
    <xf borderId="1" fillId="5" fontId="7" numFmtId="169" xfId="0" applyAlignment="1" applyBorder="1" applyFont="1" applyNumberFormat="1">
      <alignment horizontal="right" vertical="center"/>
    </xf>
    <xf borderId="1" fillId="5" fontId="2" numFmtId="0" xfId="0" applyAlignment="1" applyBorder="1" applyFont="1">
      <alignment vertical="center"/>
    </xf>
    <xf borderId="0" fillId="0" fontId="3" numFmtId="0" xfId="0" applyFont="1"/>
    <xf borderId="2" fillId="0" fontId="1" numFmtId="49" xfId="0" applyAlignment="1" applyBorder="1" applyFont="1" applyNumberFormat="1">
      <alignment vertical="top"/>
    </xf>
    <xf borderId="2" fillId="0" fontId="12" numFmtId="0" xfId="0" applyBorder="1" applyFont="1"/>
    <xf borderId="0" fillId="0" fontId="13" numFmtId="0" xfId="0" applyAlignment="1" applyFont="1">
      <alignment vertical="top"/>
    </xf>
    <xf borderId="3" fillId="0" fontId="4" numFmtId="49" xfId="0" applyAlignment="1" applyBorder="1" applyFont="1" applyNumberFormat="1">
      <alignment vertical="top"/>
    </xf>
    <xf borderId="3" fillId="0" fontId="12" numFmtId="0" xfId="0" applyBorder="1" applyFont="1"/>
    <xf borderId="2" fillId="0" fontId="13" numFmtId="49" xfId="0" applyAlignment="1" applyBorder="1" applyFont="1" applyNumberFormat="1">
      <alignment vertical="top"/>
    </xf>
    <xf borderId="4" fillId="0" fontId="4" numFmtId="49" xfId="0" applyAlignment="1" applyBorder="1" applyFont="1" applyNumberFormat="1">
      <alignment horizontal="left" vertical="top"/>
    </xf>
    <xf borderId="4" fillId="0" fontId="12" numFmtId="0" xfId="0" applyBorder="1" applyFont="1"/>
    <xf borderId="0" fillId="0" fontId="1" numFmtId="49" xfId="0" applyAlignment="1" applyFont="1" applyNumberFormat="1">
      <alignment horizontal="left" vertical="top"/>
    </xf>
    <xf borderId="5" fillId="0" fontId="4" numFmtId="49" xfId="0" applyAlignment="1" applyBorder="1" applyFont="1" applyNumberFormat="1">
      <alignment horizontal="left" vertical="top"/>
    </xf>
    <xf borderId="6" fillId="0" fontId="5" numFmtId="49" xfId="0" applyAlignment="1" applyBorder="1" applyFont="1" applyNumberFormat="1">
      <alignment horizontal="left" vertical="top"/>
    </xf>
    <xf borderId="6" fillId="0" fontId="8" numFmtId="49" xfId="0" applyAlignment="1" applyBorder="1" applyFont="1" applyNumberFormat="1">
      <alignment horizontal="center" shrinkToFit="0" vertical="top" wrapText="1"/>
    </xf>
    <xf borderId="0" fillId="0" fontId="5" numFmtId="49" xfId="0" applyAlignment="1" applyFont="1" applyNumberFormat="1">
      <alignment horizontal="left" vertical="top"/>
    </xf>
    <xf borderId="7" fillId="0" fontId="5" numFmtId="49" xfId="0" applyAlignment="1" applyBorder="1" applyFont="1" applyNumberFormat="1">
      <alignment horizontal="center" shrinkToFit="0" vertical="top" wrapText="1"/>
    </xf>
    <xf borderId="5" fillId="0" fontId="5" numFmtId="49" xfId="0" applyAlignment="1" applyBorder="1" applyFont="1" applyNumberFormat="1">
      <alignment horizontal="left" vertical="top"/>
    </xf>
    <xf borderId="5" fillId="0" fontId="7" numFmtId="49" xfId="0" applyAlignment="1" applyBorder="1" applyFont="1" applyNumberFormat="1">
      <alignment horizontal="center" shrinkToFit="0" vertical="top" wrapText="1"/>
    </xf>
    <xf borderId="8" fillId="0" fontId="5" numFmtId="49" xfId="0" applyAlignment="1" applyBorder="1" applyFont="1" applyNumberFormat="1">
      <alignment horizontal="left" vertical="top"/>
    </xf>
    <xf borderId="8" fillId="0" fontId="7" numFmtId="49" xfId="0" applyAlignment="1" applyBorder="1" applyFont="1" applyNumberFormat="1">
      <alignment horizontal="center" vertical="top"/>
    </xf>
    <xf borderId="8" fillId="0" fontId="8" numFmtId="49" xfId="0" applyAlignment="1" applyBorder="1" applyFont="1" applyNumberFormat="1">
      <alignment horizontal="center" vertical="top"/>
    </xf>
    <xf borderId="0" fillId="0" fontId="5" numFmtId="49" xfId="0" applyAlignment="1" applyFont="1" applyNumberFormat="1">
      <alignment vertical="top"/>
    </xf>
    <xf borderId="4" fillId="0" fontId="5" numFmtId="166" xfId="0" applyAlignment="1" applyBorder="1" applyFont="1" applyNumberFormat="1">
      <alignment horizontal="right" vertical="top"/>
    </xf>
    <xf borderId="4" fillId="0" fontId="8" numFmtId="166" xfId="0" applyAlignment="1" applyBorder="1" applyFont="1" applyNumberFormat="1">
      <alignment horizontal="right" vertical="top"/>
    </xf>
    <xf borderId="4" fillId="0" fontId="5" numFmtId="170" xfId="0" applyAlignment="1" applyBorder="1" applyFont="1" applyNumberFormat="1">
      <alignment horizontal="right" vertical="top"/>
    </xf>
    <xf borderId="0" fillId="0" fontId="8" numFmtId="49" xfId="0" applyAlignment="1" applyFont="1" applyNumberFormat="1">
      <alignment horizontal="left" vertical="top"/>
    </xf>
    <xf borderId="0" fillId="0" fontId="8" numFmtId="164" xfId="0" applyAlignment="1" applyFont="1" applyNumberFormat="1">
      <alignment horizontal="right" vertical="top"/>
    </xf>
    <xf borderId="0" fillId="0" fontId="8" numFmtId="170" xfId="0" applyAlignment="1" applyFont="1" applyNumberFormat="1">
      <alignment horizontal="right" vertical="top"/>
    </xf>
    <xf borderId="0" fillId="0" fontId="8" numFmtId="166" xfId="0" applyAlignment="1" applyFont="1" applyNumberFormat="1">
      <alignment horizontal="right" vertical="top"/>
    </xf>
    <xf borderId="0" fillId="0" fontId="8" numFmtId="165" xfId="0" applyAlignment="1" applyFont="1" applyNumberFormat="1">
      <alignment horizontal="right" vertical="top"/>
    </xf>
    <xf borderId="0" fillId="0" fontId="7" numFmtId="49" xfId="0" applyAlignment="1" applyFont="1" applyNumberFormat="1">
      <alignment vertical="top"/>
    </xf>
    <xf borderId="0" fillId="0" fontId="7" numFmtId="165" xfId="0" applyAlignment="1" applyFont="1" applyNumberFormat="1">
      <alignment horizontal="right" vertical="top"/>
    </xf>
    <xf borderId="0" fillId="0" fontId="7" numFmtId="170" xfId="0" applyAlignment="1" applyFont="1" applyNumberFormat="1">
      <alignment horizontal="right" vertical="top"/>
    </xf>
    <xf borderId="0" fillId="0" fontId="7" numFmtId="166" xfId="0" applyAlignment="1" applyFont="1" applyNumberFormat="1">
      <alignment horizontal="right" vertical="top"/>
    </xf>
    <xf borderId="0" fillId="0" fontId="7" numFmtId="164" xfId="0" applyAlignment="1" applyFont="1" applyNumberFormat="1">
      <alignment horizontal="right" vertical="top"/>
    </xf>
    <xf borderId="0" fillId="0" fontId="7" numFmtId="167" xfId="0" applyAlignment="1" applyFont="1" applyNumberFormat="1">
      <alignment horizontal="right" vertical="top"/>
    </xf>
    <xf borderId="0" fillId="0" fontId="7" numFmtId="168" xfId="0" applyAlignment="1" applyFont="1" applyNumberFormat="1">
      <alignment horizontal="right" vertical="top"/>
    </xf>
    <xf borderId="4" fillId="0" fontId="5" numFmtId="49" xfId="0" applyAlignment="1" applyBorder="1" applyFont="1" applyNumberFormat="1">
      <alignment horizontal="left" vertical="top"/>
    </xf>
    <xf borderId="4" fillId="0" fontId="5" numFmtId="164" xfId="0" applyAlignment="1" applyBorder="1" applyFont="1" applyNumberFormat="1">
      <alignment horizontal="right" vertical="top"/>
    </xf>
    <xf borderId="4" fillId="0" fontId="8" numFmtId="170" xfId="0" applyAlignment="1" applyBorder="1" applyFont="1" applyNumberFormat="1">
      <alignment horizontal="right" vertical="top"/>
    </xf>
    <xf borderId="0" fillId="0" fontId="7" numFmtId="169" xfId="0" applyAlignment="1" applyFont="1" applyNumberFormat="1">
      <alignment horizontal="right" vertical="top"/>
    </xf>
    <xf borderId="4" fillId="0" fontId="14" numFmtId="166" xfId="0" applyAlignment="1" applyBorder="1" applyFont="1" applyNumberFormat="1">
      <alignment horizontal="right" vertical="top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71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5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eet5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eet6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heet7-style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Content_tracker" name="Content_tracker" id="1">
  <tableColumns count="8">
    <tableColumn name="Content" id="1"/>
    <tableColumn name="Type" id="2"/>
    <tableColumn name="Details" id="3"/>
    <tableColumn name="Owner" id="4"/>
    <tableColumn name="Status" id="5"/>
    <tableColumn name="Post date" id="6"/>
    <tableColumn name="File" id="7"/>
    <tableColumn name="Notes" id="8"/>
  </tableColumns>
  <tableStyleInfo name="Sheet3-style" showColumnStripes="0" showFirstColumn="1" showLastColumn="1" showRowStripes="1"/>
</table>
</file>

<file path=xl/tables/table2.xml><?xml version="1.0" encoding="utf-8"?>
<table xmlns="http://schemas.openxmlformats.org/spreadsheetml/2006/main" ref="A1:G15" displayName="Product_prioritization" name="Product_prioritization" id="2">
  <tableColumns count="7">
    <tableColumn name="Feature" id="1"/>
    <tableColumn name="Category" id="2"/>
    <tableColumn name="Status" id="3"/>
    <tableColumn name="Owner" id="4"/>
    <tableColumn name="Size" id="5"/>
    <tableColumn name="Launch" id="6"/>
    <tableColumn name="Notes" id="7"/>
  </tableColumns>
  <tableStyleInfo name="Sheet4-style" showColumnStripes="0" showFirstColumn="1" showLastColumn="1" showRowStripes="1"/>
</table>
</file>

<file path=xl/tables/table3.xml><?xml version="1.0" encoding="utf-8"?>
<table xmlns="http://schemas.openxmlformats.org/spreadsheetml/2006/main" ref="A1:G15" displayName="Product_prioritization2" name="Product_prioritization2" id="3">
  <tableColumns count="7">
    <tableColumn name="Feature" id="1"/>
    <tableColumn name="Category" id="2"/>
    <tableColumn name="Status" id="3"/>
    <tableColumn name="Owner" id="4"/>
    <tableColumn name="Size" id="5"/>
    <tableColumn name="Launch" id="6"/>
    <tableColumn name="Notes" id="7"/>
  </tableColumns>
  <tableStyleInfo name="Sheet5-style" showColumnStripes="0" showFirstColumn="1" showLastColumn="1" showRowStripes="1"/>
</table>
</file>

<file path=xl/tables/table4.xml><?xml version="1.0" encoding="utf-8"?>
<table xmlns="http://schemas.openxmlformats.org/spreadsheetml/2006/main" ref="A1:H15" displayName="Recruitment_applicants" name="Recruitment_applicants" id="4">
  <tableColumns count="8">
    <tableColumn name="Applicant" id="1"/>
    <tableColumn name="Stage" id="2"/>
    <tableColumn name="Role" id="3"/>
    <tableColumn name="Team" id="4"/>
    <tableColumn name="Resume" id="5"/>
    <tableColumn name="Interviewer" id="6"/>
    <tableColumn name="Score" id="7"/>
    <tableColumn name="Notes" id="8"/>
  </tableColumns>
  <tableStyleInfo name="Sheet6-style" showColumnStripes="0" showFirstColumn="1" showLastColumn="1" showRowStripes="1"/>
</table>
</file>

<file path=xl/tables/table5.xml><?xml version="1.0" encoding="utf-8"?>
<table xmlns="http://schemas.openxmlformats.org/spreadsheetml/2006/main" ref="A1:F15" displayName="Event_tasks" name="Event_tasks" id="5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heet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57"/>
    <col customWidth="1" min="2" max="2" width="37.71"/>
    <col customWidth="1" min="3" max="3" width="12.86"/>
    <col customWidth="1" min="4" max="4" width="9.14"/>
    <col customWidth="1" min="5" max="21" width="8.71"/>
    <col customWidth="1" min="22" max="22" width="9.14"/>
    <col customWidth="1" min="23" max="40" width="8.71"/>
  </cols>
  <sheetData>
    <row r="1">
      <c r="A1" s="1"/>
      <c r="B1" s="2" t="s">
        <v>0</v>
      </c>
      <c r="C1" s="3" t="s">
        <v>1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4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/>
      <c r="B2" s="7" t="s">
        <v>2</v>
      </c>
      <c r="C2" s="8" t="s">
        <v>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>
      <c r="A3" s="11"/>
      <c r="B3" s="12" t="s">
        <v>4</v>
      </c>
      <c r="C3" s="13" t="s">
        <v>5</v>
      </c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4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>
      <c r="A4" s="16" t="s">
        <v>6</v>
      </c>
      <c r="B4" s="17" t="s">
        <v>7</v>
      </c>
      <c r="C4" s="18" t="s">
        <v>8</v>
      </c>
      <c r="D4" s="18" t="s">
        <v>8</v>
      </c>
      <c r="E4" s="18" t="s">
        <v>8</v>
      </c>
      <c r="F4" s="18" t="s">
        <v>8</v>
      </c>
      <c r="G4" s="18" t="s">
        <v>8</v>
      </c>
      <c r="H4" s="18" t="s">
        <v>8</v>
      </c>
      <c r="I4" s="18" t="s">
        <v>8</v>
      </c>
      <c r="J4" s="18" t="s">
        <v>8</v>
      </c>
      <c r="K4" s="18" t="s">
        <v>8</v>
      </c>
      <c r="L4" s="18" t="s">
        <v>8</v>
      </c>
      <c r="M4" s="18" t="s">
        <v>8</v>
      </c>
      <c r="N4" s="18" t="s">
        <v>8</v>
      </c>
      <c r="O4" s="18" t="s">
        <v>8</v>
      </c>
      <c r="P4" s="18" t="s">
        <v>8</v>
      </c>
      <c r="Q4" s="18" t="s">
        <v>8</v>
      </c>
      <c r="R4" s="18" t="s">
        <v>8</v>
      </c>
      <c r="S4" s="18" t="s">
        <v>8</v>
      </c>
      <c r="T4" s="18" t="s">
        <v>8</v>
      </c>
      <c r="U4" s="18" t="s">
        <v>8</v>
      </c>
      <c r="V4" s="4" t="s">
        <v>9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19" t="s">
        <v>10</v>
      </c>
      <c r="B5" s="20" t="s">
        <v>11</v>
      </c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21">
        <v>45.0</v>
      </c>
      <c r="V5" s="22">
        <f t="shared" ref="V5:V94" si="1">sum(C5:U5)</f>
        <v>45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>
      <c r="A6" s="19" t="s">
        <v>12</v>
      </c>
      <c r="B6" s="20" t="s">
        <v>13</v>
      </c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22">
        <f t="shared" si="1"/>
        <v>0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>
      <c r="A7" s="19" t="s">
        <v>14</v>
      </c>
      <c r="B7" s="20" t="s">
        <v>15</v>
      </c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22">
        <f t="shared" si="1"/>
        <v>0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>
      <c r="A8" s="19" t="s">
        <v>16</v>
      </c>
      <c r="B8" s="20" t="s">
        <v>17</v>
      </c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22">
        <f t="shared" si="1"/>
        <v>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>
      <c r="A9" s="19" t="s">
        <v>18</v>
      </c>
      <c r="B9" s="20" t="s">
        <v>19</v>
      </c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22">
        <f t="shared" si="1"/>
        <v>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>
      <c r="A10" s="19" t="s">
        <v>20</v>
      </c>
      <c r="B10" s="20" t="s">
        <v>21</v>
      </c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22">
        <f t="shared" si="1"/>
        <v>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>
      <c r="A11" s="19" t="s">
        <v>22</v>
      </c>
      <c r="B11" s="20" t="s">
        <v>23</v>
      </c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22">
        <f t="shared" si="1"/>
        <v>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>
      <c r="A12" s="19" t="s">
        <v>24</v>
      </c>
      <c r="B12" s="20" t="s">
        <v>25</v>
      </c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22">
        <f t="shared" si="1"/>
        <v>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>
      <c r="A13" s="19" t="s">
        <v>26</v>
      </c>
      <c r="B13" s="20" t="s">
        <v>27</v>
      </c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22">
        <f t="shared" si="1"/>
        <v>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>
      <c r="A14" s="19" t="s">
        <v>28</v>
      </c>
      <c r="B14" s="20" t="s">
        <v>29</v>
      </c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22">
        <f t="shared" si="1"/>
        <v>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>
      <c r="A15" s="19" t="s">
        <v>30</v>
      </c>
      <c r="B15" s="20" t="s">
        <v>31</v>
      </c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22">
        <f t="shared" si="1"/>
        <v>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>
      <c r="A16" s="19" t="s">
        <v>32</v>
      </c>
      <c r="B16" s="20" t="s">
        <v>33</v>
      </c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22">
        <f t="shared" si="1"/>
        <v>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>
      <c r="A17" s="19" t="s">
        <v>34</v>
      </c>
      <c r="B17" s="20" t="s">
        <v>35</v>
      </c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22">
        <f t="shared" si="1"/>
        <v>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>
      <c r="A18" s="19" t="s">
        <v>36</v>
      </c>
      <c r="B18" s="20" t="s">
        <v>37</v>
      </c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22">
        <f t="shared" si="1"/>
        <v>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>
      <c r="A19" s="19" t="s">
        <v>38</v>
      </c>
      <c r="B19" s="20" t="s">
        <v>39</v>
      </c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22">
        <f t="shared" si="1"/>
        <v>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ht="15.75" customHeight="1">
      <c r="A20" s="19" t="s">
        <v>40</v>
      </c>
      <c r="B20" s="20" t="s">
        <v>41</v>
      </c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22">
        <f t="shared" si="1"/>
        <v>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ht="15.75" customHeight="1">
      <c r="A21" s="19" t="s">
        <v>42</v>
      </c>
      <c r="B21" s="20" t="s">
        <v>43</v>
      </c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22">
        <f t="shared" si="1"/>
        <v>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15.75" customHeight="1">
      <c r="A22" s="19" t="s">
        <v>44</v>
      </c>
      <c r="B22" s="20" t="s">
        <v>45</v>
      </c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22">
        <f t="shared" si="1"/>
        <v>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ht="15.75" customHeight="1">
      <c r="A23" s="19" t="s">
        <v>46</v>
      </c>
      <c r="B23" s="20" t="s">
        <v>47</v>
      </c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22">
        <f t="shared" si="1"/>
        <v>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ht="15.75" customHeight="1">
      <c r="A24" s="19" t="s">
        <v>48</v>
      </c>
      <c r="B24" s="23" t="s">
        <v>49</v>
      </c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22">
        <f t="shared" si="1"/>
        <v>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ht="15.75" customHeight="1">
      <c r="A25" s="19" t="s">
        <v>50</v>
      </c>
      <c r="B25" s="23" t="s">
        <v>51</v>
      </c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22">
        <f t="shared" si="1"/>
        <v>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ht="15.75" customHeight="1">
      <c r="A26" s="19" t="s">
        <v>52</v>
      </c>
      <c r="B26" s="23" t="s">
        <v>53</v>
      </c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22">
        <f t="shared" si="1"/>
        <v>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ht="15.75" customHeight="1">
      <c r="A27" s="19" t="s">
        <v>54</v>
      </c>
      <c r="B27" s="23" t="s">
        <v>55</v>
      </c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22">
        <f t="shared" si="1"/>
        <v>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ht="15.75" customHeight="1">
      <c r="A28" s="19" t="s">
        <v>56</v>
      </c>
      <c r="B28" s="23" t="s">
        <v>57</v>
      </c>
      <c r="C28" s="4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22">
        <f t="shared" si="1"/>
        <v>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15.75" customHeight="1">
      <c r="A29" s="19" t="s">
        <v>58</v>
      </c>
      <c r="B29" s="23" t="s">
        <v>59</v>
      </c>
      <c r="C29" s="4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22">
        <f t="shared" si="1"/>
        <v>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15.75" customHeight="1">
      <c r="A30" s="19" t="s">
        <v>60</v>
      </c>
      <c r="B30" s="23" t="s">
        <v>61</v>
      </c>
      <c r="C30" s="4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22">
        <f t="shared" si="1"/>
        <v>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ht="15.75" customHeight="1">
      <c r="A31" s="19" t="s">
        <v>62</v>
      </c>
      <c r="B31" s="23" t="s">
        <v>63</v>
      </c>
      <c r="C31" s="4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22">
        <f t="shared" si="1"/>
        <v>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ht="15.75" customHeight="1">
      <c r="A32" s="19" t="s">
        <v>64</v>
      </c>
      <c r="B32" s="23" t="s">
        <v>65</v>
      </c>
      <c r="C32" s="4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22">
        <f t="shared" si="1"/>
        <v>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ht="15.75" customHeight="1">
      <c r="A33" s="19" t="s">
        <v>66</v>
      </c>
      <c r="B33" s="23" t="s">
        <v>67</v>
      </c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22">
        <f t="shared" si="1"/>
        <v>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ht="15.75" customHeight="1">
      <c r="A34" s="19" t="s">
        <v>68</v>
      </c>
      <c r="B34" s="23" t="s">
        <v>69</v>
      </c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22">
        <f t="shared" si="1"/>
        <v>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ht="15.75" customHeight="1">
      <c r="A35" s="19" t="s">
        <v>70</v>
      </c>
      <c r="B35" s="23" t="s">
        <v>71</v>
      </c>
      <c r="C35" s="4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22">
        <f t="shared" si="1"/>
        <v>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ht="15.75" customHeight="1">
      <c r="A36" s="19" t="s">
        <v>72</v>
      </c>
      <c r="B36" s="23" t="s">
        <v>73</v>
      </c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22">
        <f t="shared" si="1"/>
        <v>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ht="15.75" customHeight="1">
      <c r="A37" s="19" t="s">
        <v>74</v>
      </c>
      <c r="B37" s="23" t="s">
        <v>75</v>
      </c>
      <c r="C37" s="4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22">
        <f t="shared" si="1"/>
        <v>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15.75" customHeight="1">
      <c r="A38" s="19" t="s">
        <v>76</v>
      </c>
      <c r="B38" s="23" t="s">
        <v>77</v>
      </c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22">
        <f t="shared" si="1"/>
        <v>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15.75" customHeight="1">
      <c r="A39" s="19" t="s">
        <v>78</v>
      </c>
      <c r="B39" s="23" t="s">
        <v>79</v>
      </c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22">
        <f t="shared" si="1"/>
        <v>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15.75" customHeight="1">
      <c r="A40" s="19" t="s">
        <v>80</v>
      </c>
      <c r="B40" s="23" t="s">
        <v>81</v>
      </c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22">
        <f t="shared" si="1"/>
        <v>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15.75" customHeight="1">
      <c r="A41" s="19" t="s">
        <v>82</v>
      </c>
      <c r="B41" s="23" t="s">
        <v>83</v>
      </c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22">
        <f t="shared" si="1"/>
        <v>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15.75" customHeight="1">
      <c r="A42" s="19" t="s">
        <v>84</v>
      </c>
      <c r="B42" s="23" t="s">
        <v>85</v>
      </c>
      <c r="C42" s="4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22">
        <f t="shared" si="1"/>
        <v>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15.75" customHeight="1">
      <c r="A43" s="19" t="s">
        <v>86</v>
      </c>
      <c r="B43" s="23" t="s">
        <v>87</v>
      </c>
      <c r="C43" s="4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22">
        <f t="shared" si="1"/>
        <v>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15.75" customHeight="1">
      <c r="A44" s="19" t="s">
        <v>88</v>
      </c>
      <c r="B44" s="23" t="s">
        <v>89</v>
      </c>
      <c r="C44" s="4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22">
        <f t="shared" si="1"/>
        <v>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15.75" customHeight="1">
      <c r="A45" s="19" t="s">
        <v>90</v>
      </c>
      <c r="B45" s="23" t="s">
        <v>91</v>
      </c>
      <c r="C45" s="4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22">
        <f t="shared" si="1"/>
        <v>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ht="15.75" customHeight="1">
      <c r="A46" s="19" t="s">
        <v>92</v>
      </c>
      <c r="B46" s="23" t="s">
        <v>93</v>
      </c>
      <c r="C46" s="4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22">
        <f t="shared" si="1"/>
        <v>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ht="15.75" customHeight="1">
      <c r="A47" s="19" t="s">
        <v>94</v>
      </c>
      <c r="B47" s="23" t="s">
        <v>95</v>
      </c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22">
        <f t="shared" si="1"/>
        <v>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ht="15.75" customHeight="1">
      <c r="A48" s="19" t="s">
        <v>96</v>
      </c>
      <c r="B48" s="23" t="s">
        <v>97</v>
      </c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22">
        <f t="shared" si="1"/>
        <v>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ht="15.75" customHeight="1">
      <c r="A49" s="19" t="s">
        <v>98</v>
      </c>
      <c r="B49" s="23" t="s">
        <v>99</v>
      </c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22">
        <f t="shared" si="1"/>
        <v>0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ht="15.75" customHeight="1">
      <c r="A50" s="19" t="s">
        <v>100</v>
      </c>
      <c r="B50" s="23" t="s">
        <v>101</v>
      </c>
      <c r="C50" s="4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22">
        <f t="shared" si="1"/>
        <v>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ht="15.75" customHeight="1">
      <c r="A51" s="19" t="s">
        <v>102</v>
      </c>
      <c r="B51" s="23" t="s">
        <v>103</v>
      </c>
      <c r="C51" s="24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22">
        <f t="shared" si="1"/>
        <v>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ht="15.75" customHeight="1">
      <c r="A52" s="19" t="s">
        <v>104</v>
      </c>
      <c r="B52" s="23" t="s">
        <v>105</v>
      </c>
      <c r="C52" s="4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22">
        <f t="shared" si="1"/>
        <v>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ht="15.75" customHeight="1">
      <c r="A53" s="19" t="s">
        <v>106</v>
      </c>
      <c r="B53" s="23" t="s">
        <v>107</v>
      </c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22">
        <f t="shared" si="1"/>
        <v>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ht="15.75" customHeight="1">
      <c r="A54" s="19" t="s">
        <v>108</v>
      </c>
      <c r="B54" s="23" t="s">
        <v>109</v>
      </c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22">
        <f t="shared" si="1"/>
        <v>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ht="15.75" customHeight="1">
      <c r="A55" s="19" t="s">
        <v>110</v>
      </c>
      <c r="B55" s="23" t="s">
        <v>111</v>
      </c>
      <c r="C55" s="4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22">
        <f t="shared" si="1"/>
        <v>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ht="15.75" customHeight="1">
      <c r="A56" s="19" t="s">
        <v>112</v>
      </c>
      <c r="B56" s="23" t="s">
        <v>113</v>
      </c>
      <c r="C56" s="4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22">
        <f t="shared" si="1"/>
        <v>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15.75" customHeight="1">
      <c r="A57" s="19" t="s">
        <v>114</v>
      </c>
      <c r="B57" s="23" t="s">
        <v>115</v>
      </c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22">
        <f t="shared" si="1"/>
        <v>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ht="15.75" customHeight="1">
      <c r="A58" s="19" t="s">
        <v>116</v>
      </c>
      <c r="B58" s="23" t="s">
        <v>117</v>
      </c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22">
        <f t="shared" si="1"/>
        <v>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ht="15.75" customHeight="1">
      <c r="A59" s="19" t="s">
        <v>118</v>
      </c>
      <c r="B59" s="23" t="s">
        <v>119</v>
      </c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22">
        <f t="shared" si="1"/>
        <v>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15.75" customHeight="1">
      <c r="A60" s="19" t="s">
        <v>120</v>
      </c>
      <c r="B60" s="23" t="s">
        <v>121</v>
      </c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22">
        <f t="shared" si="1"/>
        <v>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ht="15.75" customHeight="1">
      <c r="A61" s="19" t="s">
        <v>122</v>
      </c>
      <c r="B61" s="23" t="s">
        <v>123</v>
      </c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22">
        <f t="shared" si="1"/>
        <v>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15.75" customHeight="1">
      <c r="A62" s="19" t="s">
        <v>124</v>
      </c>
      <c r="B62" s="23" t="s">
        <v>125</v>
      </c>
      <c r="C62" s="4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22">
        <f t="shared" si="1"/>
        <v>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ht="15.75" customHeight="1">
      <c r="A63" s="19" t="s">
        <v>126</v>
      </c>
      <c r="B63" s="23" t="s">
        <v>127</v>
      </c>
      <c r="C63" s="4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22">
        <f t="shared" si="1"/>
        <v>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ht="15.75" customHeight="1">
      <c r="A64" s="19" t="s">
        <v>128</v>
      </c>
      <c r="B64" s="23" t="s">
        <v>129</v>
      </c>
      <c r="C64" s="24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22">
        <f t="shared" si="1"/>
        <v>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ht="15.75" customHeight="1">
      <c r="A65" s="19" t="s">
        <v>130</v>
      </c>
      <c r="B65" s="23" t="s">
        <v>131</v>
      </c>
      <c r="C65" s="4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22">
        <f t="shared" si="1"/>
        <v>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ht="15.75" customHeight="1">
      <c r="A66" s="19" t="s">
        <v>132</v>
      </c>
      <c r="B66" s="23" t="s">
        <v>133</v>
      </c>
      <c r="C66" s="4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22">
        <f t="shared" si="1"/>
        <v>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ht="15.75" customHeight="1">
      <c r="A67" s="19" t="s">
        <v>134</v>
      </c>
      <c r="B67" s="23" t="s">
        <v>135</v>
      </c>
      <c r="C67" s="4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22">
        <f t="shared" si="1"/>
        <v>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15.75" customHeight="1">
      <c r="A68" s="19" t="s">
        <v>136</v>
      </c>
      <c r="B68" s="23" t="s">
        <v>137</v>
      </c>
      <c r="C68" s="4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22">
        <f t="shared" si="1"/>
        <v>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ht="15.75" customHeight="1">
      <c r="A69" s="19" t="s">
        <v>138</v>
      </c>
      <c r="B69" s="23" t="s">
        <v>139</v>
      </c>
      <c r="C69" s="4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22">
        <f t="shared" si="1"/>
        <v>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ht="15.75" customHeight="1">
      <c r="A70" s="19" t="s">
        <v>140</v>
      </c>
      <c r="B70" s="23" t="s">
        <v>141</v>
      </c>
      <c r="C70" s="4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22">
        <f t="shared" si="1"/>
        <v>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ht="15.75" customHeight="1">
      <c r="A71" s="19" t="s">
        <v>142</v>
      </c>
      <c r="B71" s="25" t="s">
        <v>143</v>
      </c>
      <c r="C71" s="4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22">
        <f t="shared" si="1"/>
        <v>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ht="15.75" customHeight="1">
      <c r="A72" s="19" t="s">
        <v>144</v>
      </c>
      <c r="B72" s="23" t="s">
        <v>145</v>
      </c>
      <c r="C72" s="4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22">
        <f t="shared" si="1"/>
        <v>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ht="15.75" customHeight="1">
      <c r="A73" s="19" t="s">
        <v>146</v>
      </c>
      <c r="B73" s="23" t="s">
        <v>147</v>
      </c>
      <c r="C73" s="4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22">
        <f t="shared" si="1"/>
        <v>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ht="15.75" customHeight="1">
      <c r="A74" s="19" t="s">
        <v>148</v>
      </c>
      <c r="B74" s="23" t="s">
        <v>149</v>
      </c>
      <c r="C74" s="4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22">
        <f t="shared" si="1"/>
        <v>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ht="15.75" customHeight="1">
      <c r="A75" s="19" t="s">
        <v>150</v>
      </c>
      <c r="B75" s="23" t="s">
        <v>151</v>
      </c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22">
        <f t="shared" si="1"/>
        <v>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15.75" customHeight="1">
      <c r="A76" s="19" t="s">
        <v>152</v>
      </c>
      <c r="B76" s="23" t="s">
        <v>153</v>
      </c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22">
        <f t="shared" si="1"/>
        <v>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ht="15.75" customHeight="1">
      <c r="A77" s="19" t="s">
        <v>154</v>
      </c>
      <c r="B77" s="23" t="s">
        <v>155</v>
      </c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22">
        <f t="shared" si="1"/>
        <v>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ht="15.75" customHeight="1">
      <c r="A78" s="19" t="s">
        <v>156</v>
      </c>
      <c r="B78" s="23" t="s">
        <v>157</v>
      </c>
      <c r="C78" s="4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22">
        <f t="shared" si="1"/>
        <v>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ht="15.75" customHeight="1">
      <c r="A79" s="19" t="s">
        <v>158</v>
      </c>
      <c r="B79" s="23" t="s">
        <v>159</v>
      </c>
      <c r="C79" s="4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22">
        <f t="shared" si="1"/>
        <v>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ht="15.75" customHeight="1">
      <c r="A80" s="19" t="s">
        <v>160</v>
      </c>
      <c r="B80" s="23" t="s">
        <v>161</v>
      </c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22">
        <f t="shared" si="1"/>
        <v>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ht="15.75" customHeight="1">
      <c r="A81" s="19" t="s">
        <v>162</v>
      </c>
      <c r="B81" s="23" t="s">
        <v>163</v>
      </c>
      <c r="C81" s="4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22">
        <f t="shared" si="1"/>
        <v>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ht="15.75" customHeight="1">
      <c r="A82" s="19" t="s">
        <v>164</v>
      </c>
      <c r="B82" s="23" t="s">
        <v>165</v>
      </c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22">
        <f t="shared" si="1"/>
        <v>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ht="15.75" customHeight="1">
      <c r="A83" s="19" t="s">
        <v>166</v>
      </c>
      <c r="B83" s="23" t="s">
        <v>167</v>
      </c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22">
        <f t="shared" si="1"/>
        <v>0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ht="15.75" customHeight="1">
      <c r="A84" s="19" t="s">
        <v>168</v>
      </c>
      <c r="B84" s="23" t="s">
        <v>169</v>
      </c>
      <c r="C84" s="4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22">
        <f t="shared" si="1"/>
        <v>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15.75" customHeight="1">
      <c r="A85" s="19" t="s">
        <v>170</v>
      </c>
      <c r="B85" s="23" t="s">
        <v>171</v>
      </c>
      <c r="C85" s="4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22">
        <f t="shared" si="1"/>
        <v>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15.75" customHeight="1">
      <c r="A86" s="19" t="s">
        <v>172</v>
      </c>
      <c r="B86" s="23" t="s">
        <v>173</v>
      </c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22">
        <f t="shared" si="1"/>
        <v>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15.75" customHeight="1">
      <c r="A87" s="19" t="s">
        <v>174</v>
      </c>
      <c r="B87" s="23" t="s">
        <v>175</v>
      </c>
      <c r="C87" s="4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22">
        <f t="shared" si="1"/>
        <v>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ht="15.75" customHeight="1">
      <c r="A88" s="19" t="s">
        <v>176</v>
      </c>
      <c r="B88" s="23" t="s">
        <v>177</v>
      </c>
      <c r="C88" s="4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22">
        <f t="shared" si="1"/>
        <v>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ht="15.75" customHeight="1">
      <c r="A89" s="19" t="s">
        <v>178</v>
      </c>
      <c r="B89" s="23" t="s">
        <v>179</v>
      </c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22">
        <f t="shared" si="1"/>
        <v>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ht="15.75" customHeight="1">
      <c r="A90" s="19" t="s">
        <v>180</v>
      </c>
      <c r="B90" s="23" t="s">
        <v>181</v>
      </c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22">
        <f t="shared" si="1"/>
        <v>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ht="15.75" customHeight="1">
      <c r="A91" s="19" t="s">
        <v>182</v>
      </c>
      <c r="B91" s="23" t="s">
        <v>183</v>
      </c>
      <c r="C91" s="4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22">
        <f t="shared" si="1"/>
        <v>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ht="15.75" customHeight="1">
      <c r="A92" s="19" t="s">
        <v>184</v>
      </c>
      <c r="B92" s="23" t="s">
        <v>185</v>
      </c>
      <c r="C92" s="4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22">
        <f t="shared" si="1"/>
        <v>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ht="15.75" customHeight="1">
      <c r="A93" s="19" t="s">
        <v>186</v>
      </c>
      <c r="B93" s="23" t="s">
        <v>187</v>
      </c>
      <c r="C93" s="4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22">
        <f t="shared" si="1"/>
        <v>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ht="15.75" customHeight="1">
      <c r="A94" s="26"/>
      <c r="B94" s="25" t="s">
        <v>9</v>
      </c>
      <c r="C94" s="27">
        <f t="shared" ref="C94:U94" si="2">SUM(C5:C93)</f>
        <v>0</v>
      </c>
      <c r="D94" s="4">
        <f t="shared" si="2"/>
        <v>0</v>
      </c>
      <c r="E94" s="4">
        <f t="shared" si="2"/>
        <v>0</v>
      </c>
      <c r="F94" s="4">
        <f t="shared" si="2"/>
        <v>0</v>
      </c>
      <c r="G94" s="4">
        <f t="shared" si="2"/>
        <v>0</v>
      </c>
      <c r="H94" s="4">
        <f t="shared" si="2"/>
        <v>0</v>
      </c>
      <c r="I94" s="4">
        <f t="shared" si="2"/>
        <v>0</v>
      </c>
      <c r="J94" s="4">
        <f t="shared" si="2"/>
        <v>0</v>
      </c>
      <c r="K94" s="4">
        <f t="shared" si="2"/>
        <v>0</v>
      </c>
      <c r="L94" s="4">
        <f t="shared" si="2"/>
        <v>0</v>
      </c>
      <c r="M94" s="4">
        <f t="shared" si="2"/>
        <v>0</v>
      </c>
      <c r="N94" s="4">
        <f t="shared" si="2"/>
        <v>0</v>
      </c>
      <c r="O94" s="4">
        <f t="shared" si="2"/>
        <v>0</v>
      </c>
      <c r="P94" s="4">
        <f t="shared" si="2"/>
        <v>0</v>
      </c>
      <c r="Q94" s="4">
        <f t="shared" si="2"/>
        <v>0</v>
      </c>
      <c r="R94" s="4">
        <f t="shared" si="2"/>
        <v>0</v>
      </c>
      <c r="S94" s="4">
        <f t="shared" si="2"/>
        <v>0</v>
      </c>
      <c r="T94" s="4">
        <f t="shared" si="2"/>
        <v>0</v>
      </c>
      <c r="U94" s="4">
        <f t="shared" si="2"/>
        <v>45</v>
      </c>
      <c r="V94" s="22">
        <f t="shared" si="1"/>
        <v>45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ht="15.75" customHeight="1">
      <c r="A95" s="28"/>
      <c r="B95" s="5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4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ht="15.75" customHeight="1">
      <c r="A96" s="28"/>
      <c r="B96" s="5"/>
      <c r="C96" s="4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4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ht="15.75" customHeight="1">
      <c r="A97" s="28"/>
      <c r="B97" s="5"/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4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ht="15.75" customHeight="1">
      <c r="A98" s="28"/>
      <c r="B98" s="5"/>
      <c r="C98" s="4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4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ht="15.75" customHeight="1">
      <c r="A99" s="28"/>
      <c r="B99" s="5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4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ht="15.75" customHeight="1">
      <c r="A100" s="28"/>
      <c r="B100" s="5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4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ht="15.75" customHeight="1">
      <c r="A101" s="28"/>
      <c r="B101" s="5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4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ht="15.75" customHeight="1">
      <c r="A102" s="28"/>
      <c r="B102" s="5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4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15.75" customHeight="1">
      <c r="A103" s="28"/>
      <c r="B103" s="5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4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ht="15.75" customHeight="1">
      <c r="A104" s="28"/>
      <c r="B104" s="5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4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ht="15.75" customHeight="1">
      <c r="A105" s="28"/>
      <c r="B105" s="5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4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ht="15.75" customHeight="1">
      <c r="A106" s="28"/>
      <c r="B106" s="5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4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ht="15.75" customHeight="1">
      <c r="A107" s="28"/>
      <c r="B107" s="5"/>
      <c r="C107" s="4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4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ht="15.75" customHeight="1">
      <c r="A108" s="28"/>
      <c r="B108" s="5"/>
      <c r="C108" s="4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4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ht="15.75" customHeight="1">
      <c r="A109" s="28"/>
      <c r="B109" s="5"/>
      <c r="C109" s="4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4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ht="15.75" customHeight="1">
      <c r="A110" s="28"/>
      <c r="B110" s="5"/>
      <c r="C110" s="4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4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ht="15.75" customHeight="1">
      <c r="A111" s="28"/>
      <c r="B111" s="5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4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ht="15.75" customHeight="1">
      <c r="A112" s="28"/>
      <c r="B112" s="5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4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ht="15.75" customHeight="1">
      <c r="A113" s="28"/>
      <c r="B113" s="5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4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15.75" customHeight="1">
      <c r="A114" s="28"/>
      <c r="B114" s="5"/>
      <c r="C114" s="4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4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ht="15.75" customHeight="1">
      <c r="A115" s="28"/>
      <c r="B115" s="5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4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ht="15.75" customHeight="1">
      <c r="A116" s="28"/>
      <c r="B116" s="5"/>
      <c r="C116" s="4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4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ht="15.75" customHeight="1">
      <c r="A117" s="28"/>
      <c r="B117" s="5"/>
      <c r="C117" s="4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4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ht="15.75" customHeight="1">
      <c r="A118" s="28"/>
      <c r="B118" s="5"/>
      <c r="C118" s="4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4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ht="15.75" customHeight="1">
      <c r="A119" s="28"/>
      <c r="B119" s="5"/>
      <c r="C119" s="4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4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ht="15.75" customHeight="1">
      <c r="A120" s="28"/>
      <c r="B120" s="5"/>
      <c r="C120" s="4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4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ht="15.75" customHeight="1">
      <c r="A121" s="28"/>
      <c r="B121" s="5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4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5.75" customHeight="1">
      <c r="A122" s="28"/>
      <c r="B122" s="5"/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4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ht="15.75" customHeight="1">
      <c r="A123" s="28"/>
      <c r="B123" s="5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4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ht="15.75" customHeight="1">
      <c r="A124" s="28"/>
      <c r="B124" s="5"/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4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ht="15.75" customHeight="1">
      <c r="A125" s="28"/>
      <c r="B125" s="5"/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4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ht="15.75" customHeight="1">
      <c r="A126" s="28"/>
      <c r="B126" s="5"/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4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ht="15.75" customHeight="1">
      <c r="A127" s="28"/>
      <c r="B127" s="5"/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4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ht="15.75" customHeight="1">
      <c r="A128" s="28"/>
      <c r="B128" s="5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4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ht="15.75" customHeight="1">
      <c r="A129" s="28"/>
      <c r="B129" s="5"/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4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5.75" customHeight="1">
      <c r="A130" s="28"/>
      <c r="B130" s="5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4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5.75" customHeight="1">
      <c r="A131" s="28"/>
      <c r="B131" s="5"/>
      <c r="C131" s="4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4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ht="15.75" customHeight="1">
      <c r="A132" s="28"/>
      <c r="B132" s="5"/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4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ht="15.75" customHeight="1">
      <c r="A133" s="28"/>
      <c r="B133" s="5"/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4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ht="15.75" customHeight="1">
      <c r="A134" s="28"/>
      <c r="B134" s="5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4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ht="15.75" customHeight="1">
      <c r="A135" s="28"/>
      <c r="B135" s="5"/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4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5.75" customHeight="1">
      <c r="A136" s="28"/>
      <c r="B136" s="5"/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4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ht="15.75" customHeight="1">
      <c r="A137" s="28"/>
      <c r="B137" s="5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4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ht="15.75" customHeight="1">
      <c r="A138" s="28"/>
      <c r="B138" s="5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4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ht="15.75" customHeight="1">
      <c r="A139" s="28"/>
      <c r="B139" s="5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4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ht="15.75" customHeight="1">
      <c r="A140" s="28"/>
      <c r="B140" s="5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4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ht="15.75" customHeight="1">
      <c r="A141" s="28"/>
      <c r="B141" s="5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4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ht="15.75" customHeight="1">
      <c r="A142" s="28"/>
      <c r="B142" s="5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4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ht="15.75" customHeight="1">
      <c r="A143" s="28"/>
      <c r="B143" s="5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4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ht="15.75" customHeight="1">
      <c r="A144" s="28"/>
      <c r="B144" s="5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4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ht="15.75" customHeight="1">
      <c r="A145" s="28"/>
      <c r="B145" s="5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4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ht="15.75" customHeight="1">
      <c r="A146" s="28"/>
      <c r="B146" s="5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4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ht="15.75" customHeight="1">
      <c r="A147" s="28"/>
      <c r="B147" s="5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4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ht="15.75" customHeight="1">
      <c r="A148" s="28"/>
      <c r="B148" s="5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4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ht="15.75" customHeight="1">
      <c r="A149" s="28"/>
      <c r="B149" s="5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4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ht="15.75" customHeight="1">
      <c r="A150" s="28"/>
      <c r="B150" s="5"/>
      <c r="C150" s="4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4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ht="15.75" customHeight="1">
      <c r="A151" s="28"/>
      <c r="B151" s="5"/>
      <c r="C151" s="4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4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ht="15.75" customHeight="1">
      <c r="A152" s="28"/>
      <c r="B152" s="5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4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ht="15.75" customHeight="1">
      <c r="A153" s="28"/>
      <c r="B153" s="5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4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ht="15.75" customHeight="1">
      <c r="A154" s="28"/>
      <c r="B154" s="5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4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ht="15.75" customHeight="1">
      <c r="A155" s="28"/>
      <c r="B155" s="5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4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ht="15.75" customHeight="1">
      <c r="A156" s="28"/>
      <c r="B156" s="5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4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ht="15.75" customHeight="1">
      <c r="A157" s="28"/>
      <c r="B157" s="5"/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4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ht="15.75" customHeight="1">
      <c r="A158" s="28"/>
      <c r="B158" s="5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4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ht="15.75" customHeight="1">
      <c r="A159" s="28"/>
      <c r="B159" s="5"/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4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ht="15.75" customHeight="1">
      <c r="A160" s="28"/>
      <c r="B160" s="5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4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ht="15.75" customHeight="1">
      <c r="A161" s="28"/>
      <c r="B161" s="5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4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ht="15.75" customHeight="1">
      <c r="A162" s="28"/>
      <c r="B162" s="5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4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ht="15.75" customHeight="1">
      <c r="A163" s="28"/>
      <c r="B163" s="5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4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ht="15.75" customHeight="1">
      <c r="A164" s="28"/>
      <c r="B164" s="5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4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ht="15.75" customHeight="1">
      <c r="A165" s="28"/>
      <c r="B165" s="5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4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ht="15.75" customHeight="1">
      <c r="A166" s="28"/>
      <c r="B166" s="5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4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ht="15.75" customHeight="1">
      <c r="A167" s="28"/>
      <c r="B167" s="5"/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4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ht="15.75" customHeight="1">
      <c r="A168" s="28"/>
      <c r="B168" s="5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4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ht="15.75" customHeight="1">
      <c r="A169" s="28"/>
      <c r="B169" s="5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4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ht="15.75" customHeight="1">
      <c r="A170" s="28"/>
      <c r="B170" s="5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4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ht="15.75" customHeight="1">
      <c r="A171" s="28"/>
      <c r="B171" s="5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4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ht="15.75" customHeight="1">
      <c r="A172" s="28"/>
      <c r="B172" s="5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4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ht="15.75" customHeight="1">
      <c r="A173" s="28"/>
      <c r="B173" s="5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4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ht="15.75" customHeight="1">
      <c r="A174" s="28"/>
      <c r="B174" s="5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4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ht="15.75" customHeight="1">
      <c r="A175" s="28"/>
      <c r="B175" s="5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4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ht="15.75" customHeight="1">
      <c r="A176" s="28"/>
      <c r="B176" s="5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4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5.75" customHeight="1">
      <c r="A177" s="28"/>
      <c r="B177" s="5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4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5.75" customHeight="1">
      <c r="A178" s="28"/>
      <c r="B178" s="5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4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ht="15.75" customHeight="1">
      <c r="A179" s="28"/>
      <c r="B179" s="5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4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ht="15.75" customHeight="1">
      <c r="A180" s="28"/>
      <c r="B180" s="5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4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ht="15.75" customHeight="1">
      <c r="A181" s="28"/>
      <c r="B181" s="5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4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ht="15.75" customHeight="1">
      <c r="A182" s="28"/>
      <c r="B182" s="5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4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ht="15.75" customHeight="1">
      <c r="A183" s="28"/>
      <c r="B183" s="5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4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ht="15.75" customHeight="1">
      <c r="A184" s="28"/>
      <c r="B184" s="5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4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ht="15.75" customHeight="1">
      <c r="A185" s="28"/>
      <c r="B185" s="5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4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ht="15.75" customHeight="1">
      <c r="A186" s="28"/>
      <c r="B186" s="5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4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ht="15.75" customHeight="1">
      <c r="A187" s="28"/>
      <c r="B187" s="5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4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ht="15.75" customHeight="1">
      <c r="A188" s="28"/>
      <c r="B188" s="5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4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ht="15.75" customHeight="1">
      <c r="A189" s="28"/>
      <c r="B189" s="5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4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ht="15.75" customHeight="1">
      <c r="A190" s="28"/>
      <c r="B190" s="5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4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ht="15.75" customHeight="1">
      <c r="A191" s="28"/>
      <c r="B191" s="5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4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ht="15.75" customHeight="1">
      <c r="A192" s="28"/>
      <c r="B192" s="5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4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ht="15.75" customHeight="1">
      <c r="A193" s="28"/>
      <c r="B193" s="5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4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ht="15.75" customHeight="1">
      <c r="A194" s="28"/>
      <c r="B194" s="5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4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5.75" customHeight="1">
      <c r="A195" s="28"/>
      <c r="B195" s="5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4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ht="15.75" customHeight="1">
      <c r="A196" s="28"/>
      <c r="B196" s="5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4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ht="15.75" customHeight="1">
      <c r="A197" s="28"/>
      <c r="B197" s="5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4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ht="15.75" customHeight="1">
      <c r="A198" s="28"/>
      <c r="B198" s="5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4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ht="15.75" customHeight="1">
      <c r="A199" s="28"/>
      <c r="B199" s="5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4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ht="15.75" customHeight="1">
      <c r="A200" s="28"/>
      <c r="B200" s="5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4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ht="15.75" customHeight="1">
      <c r="A201" s="28"/>
      <c r="B201" s="5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4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ht="15.75" customHeight="1">
      <c r="A202" s="28"/>
      <c r="B202" s="5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4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ht="15.75" customHeight="1">
      <c r="A203" s="28"/>
      <c r="B203" s="5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4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ht="15.75" customHeight="1">
      <c r="A204" s="28"/>
      <c r="B204" s="5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4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ht="15.75" customHeight="1">
      <c r="A205" s="28"/>
      <c r="B205" s="5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4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ht="15.75" customHeight="1">
      <c r="A206" s="28"/>
      <c r="B206" s="5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4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ht="15.75" customHeight="1">
      <c r="A207" s="28"/>
      <c r="B207" s="5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4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ht="15.75" customHeight="1">
      <c r="A208" s="28"/>
      <c r="B208" s="5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4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ht="15.75" customHeight="1">
      <c r="A209" s="28"/>
      <c r="B209" s="5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4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ht="15.75" customHeight="1">
      <c r="A210" s="28"/>
      <c r="B210" s="5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4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ht="15.75" customHeight="1">
      <c r="A211" s="28"/>
      <c r="B211" s="5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4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ht="15.75" customHeight="1">
      <c r="A212" s="28"/>
      <c r="B212" s="5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4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ht="15.75" customHeight="1">
      <c r="A213" s="28"/>
      <c r="B213" s="5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4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ht="15.75" customHeight="1">
      <c r="A214" s="28"/>
      <c r="B214" s="5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4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ht="15.75" customHeight="1">
      <c r="A215" s="28"/>
      <c r="B215" s="5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4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ht="15.75" customHeight="1">
      <c r="A216" s="28"/>
      <c r="B216" s="5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4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ht="15.75" customHeight="1">
      <c r="A217" s="28"/>
      <c r="B217" s="5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4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ht="15.75" customHeight="1">
      <c r="A218" s="28"/>
      <c r="B218" s="5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4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ht="15.75" customHeight="1">
      <c r="A219" s="28"/>
      <c r="B219" s="5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4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ht="15.75" customHeight="1">
      <c r="A220" s="28"/>
      <c r="B220" s="5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4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ht="15.75" customHeight="1">
      <c r="A221" s="28"/>
      <c r="B221" s="5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4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ht="15.75" customHeight="1">
      <c r="A222" s="28"/>
      <c r="B222" s="5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4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ht="15.75" customHeight="1">
      <c r="A223" s="28"/>
      <c r="B223" s="5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4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ht="15.75" customHeight="1">
      <c r="A224" s="28"/>
      <c r="B224" s="5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4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ht="15.75" customHeight="1">
      <c r="A225" s="28"/>
      <c r="B225" s="5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4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ht="15.75" customHeight="1">
      <c r="A226" s="28"/>
      <c r="B226" s="5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4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ht="15.75" customHeight="1">
      <c r="A227" s="28"/>
      <c r="B227" s="5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4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ht="15.75" customHeight="1">
      <c r="A228" s="28"/>
      <c r="B228" s="5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4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ht="15.75" customHeight="1">
      <c r="A229" s="28"/>
      <c r="B229" s="5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4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ht="15.75" customHeight="1">
      <c r="A230" s="28"/>
      <c r="B230" s="5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4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ht="15.75" customHeight="1">
      <c r="A231" s="28"/>
      <c r="B231" s="5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4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ht="15.75" customHeight="1">
      <c r="A232" s="28"/>
      <c r="B232" s="5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4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ht="15.75" customHeight="1">
      <c r="A233" s="28"/>
      <c r="B233" s="5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4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ht="15.75" customHeight="1">
      <c r="A234" s="28"/>
      <c r="B234" s="5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4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ht="15.75" customHeight="1">
      <c r="A235" s="28"/>
      <c r="B235" s="5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4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ht="15.75" customHeight="1">
      <c r="A236" s="28"/>
      <c r="B236" s="5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4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ht="15.75" customHeight="1">
      <c r="A237" s="28"/>
      <c r="B237" s="5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4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ht="15.75" customHeight="1">
      <c r="A238" s="28"/>
      <c r="B238" s="5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4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ht="15.75" customHeight="1">
      <c r="A239" s="28"/>
      <c r="B239" s="5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4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ht="15.75" customHeight="1">
      <c r="A240" s="28"/>
      <c r="B240" s="5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4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ht="15.75" customHeight="1">
      <c r="A241" s="28"/>
      <c r="B241" s="5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4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ht="15.75" customHeight="1">
      <c r="A242" s="28"/>
      <c r="B242" s="5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4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ht="15.75" customHeight="1">
      <c r="A243" s="28"/>
      <c r="B243" s="5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4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ht="15.75" customHeight="1">
      <c r="A244" s="28"/>
      <c r="B244" s="5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4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ht="15.75" customHeight="1">
      <c r="A245" s="28"/>
      <c r="B245" s="5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4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ht="15.75" customHeight="1">
      <c r="A246" s="28"/>
      <c r="B246" s="5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4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ht="15.75" customHeight="1">
      <c r="A247" s="28"/>
      <c r="B247" s="5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4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ht="15.75" customHeight="1">
      <c r="A248" s="28"/>
      <c r="B248" s="5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4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ht="15.75" customHeight="1">
      <c r="A249" s="28"/>
      <c r="B249" s="5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4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ht="15.75" customHeight="1">
      <c r="A250" s="28"/>
      <c r="B250" s="5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4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ht="15.75" customHeight="1">
      <c r="A251" s="28"/>
      <c r="B251" s="5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4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ht="15.75" customHeight="1">
      <c r="A252" s="28"/>
      <c r="B252" s="5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4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ht="15.75" customHeight="1">
      <c r="A253" s="28"/>
      <c r="B253" s="5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4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ht="15.75" customHeight="1">
      <c r="A254" s="28"/>
      <c r="B254" s="5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4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ht="15.75" customHeight="1">
      <c r="A255" s="28"/>
      <c r="B255" s="5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4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ht="15.75" customHeight="1">
      <c r="A256" s="28"/>
      <c r="B256" s="5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4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ht="15.75" customHeight="1">
      <c r="A257" s="28"/>
      <c r="B257" s="5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4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ht="15.75" customHeight="1">
      <c r="A258" s="28"/>
      <c r="B258" s="5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4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ht="15.75" customHeight="1">
      <c r="A259" s="28"/>
      <c r="B259" s="5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4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ht="15.75" customHeight="1">
      <c r="A260" s="28"/>
      <c r="B260" s="5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4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ht="15.75" customHeight="1">
      <c r="A261" s="28"/>
      <c r="B261" s="5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4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ht="15.75" customHeight="1">
      <c r="A262" s="28"/>
      <c r="B262" s="5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4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ht="15.75" customHeight="1">
      <c r="A263" s="28"/>
      <c r="B263" s="5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4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ht="15.75" customHeight="1">
      <c r="A264" s="28"/>
      <c r="B264" s="5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4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ht="15.75" customHeight="1">
      <c r="A265" s="28"/>
      <c r="B265" s="5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4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ht="15.75" customHeight="1">
      <c r="A266" s="28"/>
      <c r="B266" s="5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4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ht="15.75" customHeight="1">
      <c r="A267" s="28"/>
      <c r="B267" s="5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4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ht="15.75" customHeight="1">
      <c r="A268" s="28"/>
      <c r="B268" s="5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4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ht="15.75" customHeight="1">
      <c r="A269" s="28"/>
      <c r="B269" s="5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4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ht="15.75" customHeight="1">
      <c r="A270" s="28"/>
      <c r="B270" s="5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4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ht="15.75" customHeight="1">
      <c r="A271" s="28"/>
      <c r="B271" s="5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4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ht="15.75" customHeight="1">
      <c r="A272" s="28"/>
      <c r="B272" s="5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4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ht="15.75" customHeight="1">
      <c r="A273" s="28"/>
      <c r="B273" s="5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4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ht="15.75" customHeight="1">
      <c r="A274" s="28"/>
      <c r="B274" s="5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4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ht="15.75" customHeight="1">
      <c r="A275" s="28"/>
      <c r="B275" s="5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4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ht="15.75" customHeight="1">
      <c r="A276" s="28"/>
      <c r="B276" s="5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4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ht="15.75" customHeight="1">
      <c r="A277" s="28"/>
      <c r="B277" s="5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4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ht="15.75" customHeight="1">
      <c r="A278" s="28"/>
      <c r="B278" s="5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4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ht="15.75" customHeight="1">
      <c r="A279" s="28"/>
      <c r="B279" s="5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4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ht="15.75" customHeight="1">
      <c r="A280" s="28"/>
      <c r="B280" s="5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4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ht="15.75" customHeight="1">
      <c r="A281" s="28"/>
      <c r="B281" s="5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4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ht="15.75" customHeight="1">
      <c r="A282" s="28"/>
      <c r="B282" s="5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4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ht="15.75" customHeight="1">
      <c r="A283" s="28"/>
      <c r="B283" s="5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4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ht="15.75" customHeight="1">
      <c r="A284" s="28"/>
      <c r="B284" s="5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4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ht="15.75" customHeight="1">
      <c r="A285" s="28"/>
      <c r="B285" s="5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4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ht="15.75" customHeight="1">
      <c r="A286" s="28"/>
      <c r="B286" s="5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4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ht="15.75" customHeight="1">
      <c r="A287" s="28"/>
      <c r="B287" s="5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4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ht="15.75" customHeight="1">
      <c r="A288" s="28"/>
      <c r="B288" s="5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4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ht="15.75" customHeight="1">
      <c r="A289" s="28"/>
      <c r="B289" s="5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4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ht="15.75" customHeight="1">
      <c r="A290" s="28"/>
      <c r="B290" s="5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4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ht="15.75" customHeight="1">
      <c r="A291" s="28"/>
      <c r="B291" s="5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4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ht="15.75" customHeight="1">
      <c r="A292" s="28"/>
      <c r="B292" s="5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4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ht="15.75" customHeight="1">
      <c r="A293" s="28"/>
      <c r="B293" s="5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4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ht="15.75" customHeight="1">
      <c r="A294" s="28"/>
      <c r="B294" s="5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4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ht="15.75" customHeight="1">
      <c r="A295" s="28"/>
      <c r="B295" s="5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4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ht="15.75" customHeight="1">
      <c r="A296" s="28"/>
      <c r="B296" s="5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4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ht="15.75" customHeight="1">
      <c r="A297" s="28"/>
      <c r="B297" s="5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4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ht="15.75" customHeight="1">
      <c r="A298" s="28"/>
      <c r="B298" s="5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4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ht="15.75" customHeight="1">
      <c r="A299" s="28"/>
      <c r="B299" s="5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4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ht="15.75" customHeight="1">
      <c r="A300" s="28"/>
      <c r="B300" s="5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4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ht="15.75" customHeight="1">
      <c r="A301" s="28"/>
      <c r="B301" s="5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4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ht="15.75" customHeight="1">
      <c r="A302" s="28"/>
      <c r="B302" s="5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4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ht="15.75" customHeight="1">
      <c r="A303" s="28"/>
      <c r="B303" s="5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4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ht="15.75" customHeight="1">
      <c r="A304" s="28"/>
      <c r="B304" s="5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4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ht="15.75" customHeight="1">
      <c r="A305" s="28"/>
      <c r="B305" s="5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4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ht="15.75" customHeight="1">
      <c r="A306" s="28"/>
      <c r="B306" s="5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4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ht="15.75" customHeight="1">
      <c r="A307" s="28"/>
      <c r="B307" s="5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4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ht="15.75" customHeight="1">
      <c r="A308" s="28"/>
      <c r="B308" s="5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4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ht="15.75" customHeight="1">
      <c r="A309" s="28"/>
      <c r="B309" s="5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4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ht="15.75" customHeight="1">
      <c r="A310" s="28"/>
      <c r="B310" s="5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4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ht="15.75" customHeight="1">
      <c r="A311" s="28"/>
      <c r="B311" s="5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4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ht="15.75" customHeight="1">
      <c r="A312" s="28"/>
      <c r="B312" s="5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4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ht="15.75" customHeight="1">
      <c r="A313" s="28"/>
      <c r="B313" s="5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4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ht="15.75" customHeight="1">
      <c r="A314" s="28"/>
      <c r="B314" s="5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4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ht="15.75" customHeight="1">
      <c r="A315" s="28"/>
      <c r="B315" s="5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4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ht="15.75" customHeight="1">
      <c r="A316" s="28"/>
      <c r="B316" s="5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4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ht="15.75" customHeight="1">
      <c r="A317" s="28"/>
      <c r="B317" s="5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4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ht="15.75" customHeight="1">
      <c r="A318" s="28"/>
      <c r="B318" s="5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4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ht="15.75" customHeight="1">
      <c r="A319" s="28"/>
      <c r="B319" s="5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4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ht="15.75" customHeight="1">
      <c r="A320" s="28"/>
      <c r="B320" s="5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4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ht="15.75" customHeight="1">
      <c r="A321" s="28"/>
      <c r="B321" s="5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4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ht="15.75" customHeight="1">
      <c r="A322" s="28"/>
      <c r="B322" s="5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4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ht="15.75" customHeight="1">
      <c r="A323" s="28"/>
      <c r="B323" s="5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4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ht="15.75" customHeight="1">
      <c r="A324" s="28"/>
      <c r="B324" s="5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4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ht="15.75" customHeight="1">
      <c r="A325" s="28"/>
      <c r="B325" s="5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4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ht="15.75" customHeight="1">
      <c r="A326" s="28"/>
      <c r="B326" s="5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4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ht="15.75" customHeight="1">
      <c r="A327" s="28"/>
      <c r="B327" s="5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4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ht="15.75" customHeight="1">
      <c r="A328" s="28"/>
      <c r="B328" s="5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4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ht="15.75" customHeight="1">
      <c r="A329" s="28"/>
      <c r="B329" s="5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4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ht="15.75" customHeight="1">
      <c r="A330" s="28"/>
      <c r="B330" s="5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4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ht="15.75" customHeight="1">
      <c r="A331" s="28"/>
      <c r="B331" s="5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4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ht="15.75" customHeight="1">
      <c r="A332" s="28"/>
      <c r="B332" s="5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4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ht="15.75" customHeight="1">
      <c r="A333" s="28"/>
      <c r="B333" s="5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4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ht="15.75" customHeight="1">
      <c r="A334" s="28"/>
      <c r="B334" s="5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4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ht="15.75" customHeight="1">
      <c r="A335" s="28"/>
      <c r="B335" s="5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4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ht="15.75" customHeight="1">
      <c r="A336" s="28"/>
      <c r="B336" s="5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4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ht="15.75" customHeight="1">
      <c r="A337" s="28"/>
      <c r="B337" s="5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4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ht="15.75" customHeight="1">
      <c r="A338" s="28"/>
      <c r="B338" s="5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4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ht="15.75" customHeight="1">
      <c r="A339" s="28"/>
      <c r="B339" s="5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4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ht="15.75" customHeight="1">
      <c r="A340" s="28"/>
      <c r="B340" s="5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4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ht="15.75" customHeight="1">
      <c r="A341" s="28"/>
      <c r="B341" s="5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4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ht="15.75" customHeight="1">
      <c r="A342" s="28"/>
      <c r="B342" s="5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4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ht="15.75" customHeight="1">
      <c r="A343" s="28"/>
      <c r="B343" s="5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4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ht="15.75" customHeight="1">
      <c r="A344" s="28"/>
      <c r="B344" s="5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4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ht="15.75" customHeight="1">
      <c r="A345" s="28"/>
      <c r="B345" s="5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4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ht="15.75" customHeight="1">
      <c r="A346" s="28"/>
      <c r="B346" s="5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4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ht="15.75" customHeight="1">
      <c r="A347" s="28"/>
      <c r="B347" s="5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4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ht="15.75" customHeight="1">
      <c r="A348" s="28"/>
      <c r="B348" s="5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4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ht="15.75" customHeight="1">
      <c r="A349" s="28"/>
      <c r="B349" s="5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4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ht="15.75" customHeight="1">
      <c r="A350" s="28"/>
      <c r="B350" s="5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4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ht="15.75" customHeight="1">
      <c r="A351" s="28"/>
      <c r="B351" s="5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4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ht="15.75" customHeight="1">
      <c r="A352" s="28"/>
      <c r="B352" s="5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4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ht="15.75" customHeight="1">
      <c r="A353" s="28"/>
      <c r="B353" s="5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4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ht="15.75" customHeight="1">
      <c r="A354" s="28"/>
      <c r="B354" s="5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4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ht="15.75" customHeight="1">
      <c r="A355" s="28"/>
      <c r="B355" s="5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4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ht="15.75" customHeight="1">
      <c r="A356" s="28"/>
      <c r="B356" s="5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4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ht="15.75" customHeight="1">
      <c r="A357" s="28"/>
      <c r="B357" s="5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4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ht="15.75" customHeight="1">
      <c r="A358" s="28"/>
      <c r="B358" s="5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4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ht="15.75" customHeight="1">
      <c r="A359" s="28"/>
      <c r="B359" s="5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4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ht="15.75" customHeight="1">
      <c r="A360" s="28"/>
      <c r="B360" s="5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4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ht="15.75" customHeight="1">
      <c r="A361" s="28"/>
      <c r="B361" s="5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4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ht="15.75" customHeight="1">
      <c r="A362" s="28"/>
      <c r="B362" s="5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4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ht="15.75" customHeight="1">
      <c r="A363" s="28"/>
      <c r="B363" s="5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4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ht="15.75" customHeight="1">
      <c r="A364" s="28"/>
      <c r="B364" s="5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4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ht="15.75" customHeight="1">
      <c r="A365" s="28"/>
      <c r="B365" s="5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4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ht="15.75" customHeight="1">
      <c r="A366" s="28"/>
      <c r="B366" s="5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4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ht="15.75" customHeight="1">
      <c r="A367" s="28"/>
      <c r="B367" s="5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4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ht="15.75" customHeight="1">
      <c r="A368" s="28"/>
      <c r="B368" s="5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4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ht="15.75" customHeight="1">
      <c r="A369" s="28"/>
      <c r="B369" s="5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4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ht="15.75" customHeight="1">
      <c r="A370" s="28"/>
      <c r="B370" s="5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4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ht="15.75" customHeight="1">
      <c r="A371" s="28"/>
      <c r="B371" s="5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4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ht="15.75" customHeight="1">
      <c r="A372" s="28"/>
      <c r="B372" s="5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4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ht="15.75" customHeight="1">
      <c r="A373" s="28"/>
      <c r="B373" s="5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4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ht="15.75" customHeight="1">
      <c r="A374" s="28"/>
      <c r="B374" s="5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4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ht="15.75" customHeight="1">
      <c r="A375" s="28"/>
      <c r="B375" s="5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4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ht="15.75" customHeight="1">
      <c r="A376" s="28"/>
      <c r="B376" s="5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4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ht="15.75" customHeight="1">
      <c r="A377" s="28"/>
      <c r="B377" s="5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4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ht="15.75" customHeight="1">
      <c r="A378" s="28"/>
      <c r="B378" s="5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4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ht="15.75" customHeight="1">
      <c r="A379" s="28"/>
      <c r="B379" s="5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4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ht="15.75" customHeight="1">
      <c r="A380" s="28"/>
      <c r="B380" s="5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4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ht="15.75" customHeight="1">
      <c r="A381" s="28"/>
      <c r="B381" s="5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4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ht="15.75" customHeight="1">
      <c r="A382" s="28"/>
      <c r="B382" s="5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4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ht="15.75" customHeight="1">
      <c r="A383" s="28"/>
      <c r="B383" s="5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4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ht="15.75" customHeight="1">
      <c r="A384" s="28"/>
      <c r="B384" s="5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4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ht="15.75" customHeight="1">
      <c r="A385" s="28"/>
      <c r="B385" s="5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4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ht="15.75" customHeight="1">
      <c r="A386" s="28"/>
      <c r="B386" s="5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4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ht="15.75" customHeight="1">
      <c r="A387" s="28"/>
      <c r="B387" s="5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4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ht="15.75" customHeight="1">
      <c r="A388" s="28"/>
      <c r="B388" s="5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4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ht="15.75" customHeight="1">
      <c r="A389" s="28"/>
      <c r="B389" s="5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4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ht="15.75" customHeight="1">
      <c r="A390" s="28"/>
      <c r="B390" s="5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4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ht="15.75" customHeight="1">
      <c r="A391" s="28"/>
      <c r="B391" s="5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4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ht="15.75" customHeight="1">
      <c r="A392" s="28"/>
      <c r="B392" s="5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4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ht="15.75" customHeight="1">
      <c r="A393" s="28"/>
      <c r="B393" s="5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4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ht="15.75" customHeight="1">
      <c r="A394" s="28"/>
      <c r="B394" s="5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4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ht="15.75" customHeight="1">
      <c r="A395" s="28"/>
      <c r="B395" s="5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4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ht="15.75" customHeight="1">
      <c r="A396" s="28"/>
      <c r="B396" s="5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4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ht="15.75" customHeight="1">
      <c r="A397" s="28"/>
      <c r="B397" s="5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4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ht="15.75" customHeight="1">
      <c r="A398" s="28"/>
      <c r="B398" s="5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4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ht="15.75" customHeight="1">
      <c r="A399" s="28"/>
      <c r="B399" s="5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4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ht="15.75" customHeight="1">
      <c r="A400" s="28"/>
      <c r="B400" s="5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4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ht="15.75" customHeight="1">
      <c r="A401" s="28"/>
      <c r="B401" s="5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4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ht="15.75" customHeight="1">
      <c r="A402" s="28"/>
      <c r="B402" s="5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4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ht="15.75" customHeight="1">
      <c r="A403" s="28"/>
      <c r="B403" s="5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4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ht="15.75" customHeight="1">
      <c r="A404" s="28"/>
      <c r="B404" s="5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4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ht="15.75" customHeight="1">
      <c r="A405" s="28"/>
      <c r="B405" s="5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4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ht="15.75" customHeight="1">
      <c r="A406" s="28"/>
      <c r="B406" s="5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4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ht="15.75" customHeight="1">
      <c r="A407" s="28"/>
      <c r="B407" s="5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4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ht="15.75" customHeight="1">
      <c r="A408" s="28"/>
      <c r="B408" s="5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4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ht="15.75" customHeight="1">
      <c r="A409" s="28"/>
      <c r="B409" s="5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4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ht="15.75" customHeight="1">
      <c r="A410" s="28"/>
      <c r="B410" s="5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4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ht="15.75" customHeight="1">
      <c r="A411" s="28"/>
      <c r="B411" s="5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4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ht="15.75" customHeight="1">
      <c r="A412" s="28"/>
      <c r="B412" s="5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4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ht="15.75" customHeight="1">
      <c r="A413" s="28"/>
      <c r="B413" s="5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4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ht="15.75" customHeight="1">
      <c r="A414" s="28"/>
      <c r="B414" s="5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4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ht="15.75" customHeight="1">
      <c r="A415" s="28"/>
      <c r="B415" s="5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4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ht="15.75" customHeight="1">
      <c r="A416" s="28"/>
      <c r="B416" s="5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4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ht="15.75" customHeight="1">
      <c r="A417" s="28"/>
      <c r="B417" s="5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4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ht="15.75" customHeight="1">
      <c r="A418" s="28"/>
      <c r="B418" s="5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4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ht="15.75" customHeight="1">
      <c r="A419" s="28"/>
      <c r="B419" s="5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4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ht="15.75" customHeight="1">
      <c r="A420" s="28"/>
      <c r="B420" s="5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4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ht="15.75" customHeight="1">
      <c r="A421" s="28"/>
      <c r="B421" s="5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4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ht="15.75" customHeight="1">
      <c r="A422" s="28"/>
      <c r="B422" s="5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4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ht="15.75" customHeight="1">
      <c r="A423" s="28"/>
      <c r="B423" s="5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4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ht="15.75" customHeight="1">
      <c r="A424" s="28"/>
      <c r="B424" s="5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4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ht="15.75" customHeight="1">
      <c r="A425" s="28"/>
      <c r="B425" s="5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4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ht="15.75" customHeight="1">
      <c r="A426" s="28"/>
      <c r="B426" s="5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4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ht="15.75" customHeight="1">
      <c r="A427" s="28"/>
      <c r="B427" s="5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4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ht="15.75" customHeight="1">
      <c r="A428" s="28"/>
      <c r="B428" s="5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4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ht="15.75" customHeight="1">
      <c r="A429" s="28"/>
      <c r="B429" s="5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4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ht="15.75" customHeight="1">
      <c r="A430" s="28"/>
      <c r="B430" s="5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4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ht="15.75" customHeight="1">
      <c r="A431" s="28"/>
      <c r="B431" s="5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4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ht="15.75" customHeight="1">
      <c r="A432" s="28"/>
      <c r="B432" s="5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4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ht="15.75" customHeight="1">
      <c r="A433" s="28"/>
      <c r="B433" s="5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4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ht="15.75" customHeight="1">
      <c r="A434" s="28"/>
      <c r="B434" s="5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4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ht="15.75" customHeight="1">
      <c r="A435" s="28"/>
      <c r="B435" s="5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4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ht="15.75" customHeight="1">
      <c r="A436" s="28"/>
      <c r="B436" s="5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4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ht="15.75" customHeight="1">
      <c r="A437" s="28"/>
      <c r="B437" s="5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4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ht="15.75" customHeight="1">
      <c r="A438" s="28"/>
      <c r="B438" s="5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4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ht="15.75" customHeight="1">
      <c r="A439" s="28"/>
      <c r="B439" s="5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4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ht="15.75" customHeight="1">
      <c r="A440" s="28"/>
      <c r="B440" s="5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4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ht="15.75" customHeight="1">
      <c r="A441" s="28"/>
      <c r="B441" s="5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4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ht="15.75" customHeight="1">
      <c r="A442" s="28"/>
      <c r="B442" s="5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4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ht="15.75" customHeight="1">
      <c r="A443" s="28"/>
      <c r="B443" s="5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4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ht="15.75" customHeight="1">
      <c r="A444" s="28"/>
      <c r="B444" s="5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4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ht="15.75" customHeight="1">
      <c r="A445" s="28"/>
      <c r="B445" s="5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4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ht="15.75" customHeight="1">
      <c r="A446" s="28"/>
      <c r="B446" s="5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4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ht="15.75" customHeight="1">
      <c r="A447" s="28"/>
      <c r="B447" s="5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4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ht="15.75" customHeight="1">
      <c r="A448" s="28"/>
      <c r="B448" s="5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4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ht="15.75" customHeight="1">
      <c r="A449" s="28"/>
      <c r="B449" s="5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4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ht="15.75" customHeight="1">
      <c r="A450" s="28"/>
      <c r="B450" s="5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4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ht="15.75" customHeight="1">
      <c r="A451" s="28"/>
      <c r="B451" s="5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4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ht="15.75" customHeight="1">
      <c r="A452" s="28"/>
      <c r="B452" s="5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4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ht="15.75" customHeight="1">
      <c r="A453" s="28"/>
      <c r="B453" s="5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4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ht="15.75" customHeight="1">
      <c r="A454" s="28"/>
      <c r="B454" s="5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4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ht="15.75" customHeight="1">
      <c r="A455" s="28"/>
      <c r="B455" s="5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4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ht="15.75" customHeight="1">
      <c r="A456" s="28"/>
      <c r="B456" s="5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4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ht="15.75" customHeight="1">
      <c r="A457" s="28"/>
      <c r="B457" s="5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4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ht="15.75" customHeight="1">
      <c r="A458" s="28"/>
      <c r="B458" s="5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4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ht="15.75" customHeight="1">
      <c r="A459" s="28"/>
      <c r="B459" s="5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4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ht="15.75" customHeight="1">
      <c r="A460" s="28"/>
      <c r="B460" s="5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4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ht="15.75" customHeight="1">
      <c r="A461" s="28"/>
      <c r="B461" s="5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4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ht="15.75" customHeight="1">
      <c r="A462" s="28"/>
      <c r="B462" s="5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4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ht="15.75" customHeight="1">
      <c r="A463" s="28"/>
      <c r="B463" s="5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4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ht="15.75" customHeight="1">
      <c r="A464" s="28"/>
      <c r="B464" s="5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4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ht="15.75" customHeight="1">
      <c r="A465" s="28"/>
      <c r="B465" s="5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4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ht="15.75" customHeight="1">
      <c r="A466" s="28"/>
      <c r="B466" s="5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4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ht="15.75" customHeight="1">
      <c r="A467" s="28"/>
      <c r="B467" s="5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4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ht="15.75" customHeight="1">
      <c r="A468" s="28"/>
      <c r="B468" s="5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4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ht="15.75" customHeight="1">
      <c r="A469" s="28"/>
      <c r="B469" s="5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4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ht="15.75" customHeight="1">
      <c r="A470" s="28"/>
      <c r="B470" s="5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4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ht="15.75" customHeight="1">
      <c r="A471" s="28"/>
      <c r="B471" s="5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4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ht="15.75" customHeight="1">
      <c r="A472" s="28"/>
      <c r="B472" s="5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4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ht="15.75" customHeight="1">
      <c r="A473" s="28"/>
      <c r="B473" s="5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4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ht="15.75" customHeight="1">
      <c r="A474" s="28"/>
      <c r="B474" s="5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4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ht="15.75" customHeight="1">
      <c r="A475" s="28"/>
      <c r="B475" s="5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4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ht="15.75" customHeight="1">
      <c r="A476" s="28"/>
      <c r="B476" s="5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4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ht="15.75" customHeight="1">
      <c r="A477" s="28"/>
      <c r="B477" s="5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4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ht="15.75" customHeight="1">
      <c r="A478" s="28"/>
      <c r="B478" s="5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4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ht="15.75" customHeight="1">
      <c r="A479" s="28"/>
      <c r="B479" s="5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4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ht="15.75" customHeight="1">
      <c r="A480" s="28"/>
      <c r="B480" s="5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4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ht="15.75" customHeight="1">
      <c r="A481" s="28"/>
      <c r="B481" s="5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4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ht="15.75" customHeight="1">
      <c r="A482" s="28"/>
      <c r="B482" s="5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4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ht="15.75" customHeight="1">
      <c r="A483" s="28"/>
      <c r="B483" s="5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4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ht="15.75" customHeight="1">
      <c r="A484" s="28"/>
      <c r="B484" s="5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4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ht="15.75" customHeight="1">
      <c r="A485" s="28"/>
      <c r="B485" s="5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4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ht="15.75" customHeight="1">
      <c r="A486" s="28"/>
      <c r="B486" s="5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4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ht="15.75" customHeight="1">
      <c r="A487" s="28"/>
      <c r="B487" s="5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4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ht="15.75" customHeight="1">
      <c r="A488" s="28"/>
      <c r="B488" s="5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4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ht="15.75" customHeight="1">
      <c r="A489" s="28"/>
      <c r="B489" s="5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4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ht="15.75" customHeight="1">
      <c r="A490" s="28"/>
      <c r="B490" s="5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4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ht="15.75" customHeight="1">
      <c r="A491" s="28"/>
      <c r="B491" s="5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4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ht="15.75" customHeight="1">
      <c r="A492" s="28"/>
      <c r="B492" s="5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4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ht="15.75" customHeight="1">
      <c r="A493" s="28"/>
      <c r="B493" s="5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4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ht="15.75" customHeight="1">
      <c r="A494" s="28"/>
      <c r="B494" s="5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4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ht="15.75" customHeight="1">
      <c r="A495" s="28"/>
      <c r="B495" s="5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4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ht="15.75" customHeight="1">
      <c r="A496" s="28"/>
      <c r="B496" s="5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4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ht="15.75" customHeight="1">
      <c r="A497" s="28"/>
      <c r="B497" s="5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4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ht="15.75" customHeight="1">
      <c r="A498" s="28"/>
      <c r="B498" s="5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4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ht="15.75" customHeight="1">
      <c r="A499" s="28"/>
      <c r="B499" s="5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4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ht="15.75" customHeight="1">
      <c r="A500" s="28"/>
      <c r="B500" s="5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4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ht="15.75" customHeight="1">
      <c r="A501" s="28"/>
      <c r="B501" s="5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4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ht="15.75" customHeight="1">
      <c r="A502" s="28"/>
      <c r="B502" s="5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4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ht="15.75" customHeight="1">
      <c r="A503" s="28"/>
      <c r="B503" s="5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4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ht="15.75" customHeight="1">
      <c r="A504" s="28"/>
      <c r="B504" s="5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4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ht="15.75" customHeight="1">
      <c r="A505" s="28"/>
      <c r="B505" s="5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4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ht="15.75" customHeight="1">
      <c r="A506" s="28"/>
      <c r="B506" s="5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4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ht="15.75" customHeight="1">
      <c r="A507" s="28"/>
      <c r="B507" s="5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4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ht="15.75" customHeight="1">
      <c r="A508" s="28"/>
      <c r="B508" s="5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4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ht="15.75" customHeight="1">
      <c r="A509" s="28"/>
      <c r="B509" s="5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4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ht="15.75" customHeight="1">
      <c r="A510" s="28"/>
      <c r="B510" s="5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4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ht="15.75" customHeight="1">
      <c r="A511" s="28"/>
      <c r="B511" s="5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4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ht="15.75" customHeight="1">
      <c r="A512" s="28"/>
      <c r="B512" s="5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4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ht="15.75" customHeight="1">
      <c r="A513" s="28"/>
      <c r="B513" s="5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4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ht="15.75" customHeight="1">
      <c r="A514" s="28"/>
      <c r="B514" s="5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4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ht="15.75" customHeight="1">
      <c r="A515" s="28"/>
      <c r="B515" s="5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4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ht="15.75" customHeight="1">
      <c r="A516" s="28"/>
      <c r="B516" s="5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4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ht="15.75" customHeight="1">
      <c r="A517" s="28"/>
      <c r="B517" s="5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4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ht="15.75" customHeight="1">
      <c r="A518" s="28"/>
      <c r="B518" s="5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4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ht="15.75" customHeight="1">
      <c r="A519" s="28"/>
      <c r="B519" s="5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4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ht="15.75" customHeight="1">
      <c r="A520" s="28"/>
      <c r="B520" s="5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4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ht="15.75" customHeight="1">
      <c r="A521" s="28"/>
      <c r="B521" s="5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4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ht="15.75" customHeight="1">
      <c r="A522" s="28"/>
      <c r="B522" s="5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4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ht="15.75" customHeight="1">
      <c r="A523" s="28"/>
      <c r="B523" s="5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4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ht="15.75" customHeight="1">
      <c r="A524" s="28"/>
      <c r="B524" s="5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4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ht="15.75" customHeight="1">
      <c r="A525" s="28"/>
      <c r="B525" s="5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4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ht="15.75" customHeight="1">
      <c r="A526" s="28"/>
      <c r="B526" s="5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4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ht="15.75" customHeight="1">
      <c r="A527" s="28"/>
      <c r="B527" s="5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4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ht="15.75" customHeight="1">
      <c r="A528" s="28"/>
      <c r="B528" s="5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4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ht="15.75" customHeight="1">
      <c r="A529" s="28"/>
      <c r="B529" s="5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4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ht="15.75" customHeight="1">
      <c r="A530" s="28"/>
      <c r="B530" s="5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4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ht="15.75" customHeight="1">
      <c r="A531" s="28"/>
      <c r="B531" s="5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4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ht="15.75" customHeight="1">
      <c r="A532" s="28"/>
      <c r="B532" s="5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4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ht="15.75" customHeight="1">
      <c r="A533" s="28"/>
      <c r="B533" s="5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4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ht="15.75" customHeight="1">
      <c r="A534" s="28"/>
      <c r="B534" s="5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4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ht="15.75" customHeight="1">
      <c r="A535" s="28"/>
      <c r="B535" s="5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4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ht="15.75" customHeight="1">
      <c r="A536" s="28"/>
      <c r="B536" s="5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4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ht="15.75" customHeight="1">
      <c r="A537" s="28"/>
      <c r="B537" s="5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4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ht="15.75" customHeight="1">
      <c r="A538" s="28"/>
      <c r="B538" s="5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4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ht="15.75" customHeight="1">
      <c r="A539" s="28"/>
      <c r="B539" s="5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4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ht="15.75" customHeight="1">
      <c r="A540" s="28"/>
      <c r="B540" s="5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4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ht="15.75" customHeight="1">
      <c r="A541" s="28"/>
      <c r="B541" s="5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4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ht="15.75" customHeight="1">
      <c r="A542" s="28"/>
      <c r="B542" s="5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4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ht="15.75" customHeight="1">
      <c r="A543" s="28"/>
      <c r="B543" s="5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4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ht="15.75" customHeight="1">
      <c r="A544" s="28"/>
      <c r="B544" s="5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4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ht="15.75" customHeight="1">
      <c r="A545" s="28"/>
      <c r="B545" s="5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4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ht="15.75" customHeight="1">
      <c r="A546" s="28"/>
      <c r="B546" s="5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4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ht="15.75" customHeight="1">
      <c r="A547" s="28"/>
      <c r="B547" s="5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4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ht="15.75" customHeight="1">
      <c r="A548" s="28"/>
      <c r="B548" s="5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4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ht="15.75" customHeight="1">
      <c r="A549" s="28"/>
      <c r="B549" s="5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4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ht="15.75" customHeight="1">
      <c r="A550" s="28"/>
      <c r="B550" s="5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4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ht="15.75" customHeight="1">
      <c r="A551" s="28"/>
      <c r="B551" s="5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4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ht="15.75" customHeight="1">
      <c r="A552" s="28"/>
      <c r="B552" s="5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4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ht="15.75" customHeight="1">
      <c r="A553" s="28"/>
      <c r="B553" s="5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4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ht="15.75" customHeight="1">
      <c r="A554" s="28"/>
      <c r="B554" s="5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4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ht="15.75" customHeight="1">
      <c r="A555" s="28"/>
      <c r="B555" s="5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4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ht="15.75" customHeight="1">
      <c r="A556" s="28"/>
      <c r="B556" s="5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4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ht="15.75" customHeight="1">
      <c r="A557" s="28"/>
      <c r="B557" s="5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4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ht="15.75" customHeight="1">
      <c r="A558" s="28"/>
      <c r="B558" s="5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4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ht="15.75" customHeight="1">
      <c r="A559" s="28"/>
      <c r="B559" s="5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4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ht="15.75" customHeight="1">
      <c r="A560" s="28"/>
      <c r="B560" s="5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4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ht="15.75" customHeight="1">
      <c r="A561" s="28"/>
      <c r="B561" s="5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4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ht="15.75" customHeight="1">
      <c r="A562" s="28"/>
      <c r="B562" s="5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4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ht="15.75" customHeight="1">
      <c r="A563" s="28"/>
      <c r="B563" s="5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4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ht="15.75" customHeight="1">
      <c r="A564" s="28"/>
      <c r="B564" s="5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4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ht="15.75" customHeight="1">
      <c r="A565" s="28"/>
      <c r="B565" s="5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4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ht="15.75" customHeight="1">
      <c r="A566" s="28"/>
      <c r="B566" s="5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4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ht="15.75" customHeight="1">
      <c r="A567" s="28"/>
      <c r="B567" s="5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4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ht="15.75" customHeight="1">
      <c r="A568" s="28"/>
      <c r="B568" s="5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4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ht="15.75" customHeight="1">
      <c r="A569" s="28"/>
      <c r="B569" s="5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4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ht="15.75" customHeight="1">
      <c r="A570" s="28"/>
      <c r="B570" s="5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4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ht="15.75" customHeight="1">
      <c r="A571" s="28"/>
      <c r="B571" s="5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4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ht="15.75" customHeight="1">
      <c r="A572" s="28"/>
      <c r="B572" s="5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4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ht="15.75" customHeight="1">
      <c r="A573" s="28"/>
      <c r="B573" s="5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4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ht="15.75" customHeight="1">
      <c r="A574" s="28"/>
      <c r="B574" s="5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4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ht="15.75" customHeight="1">
      <c r="A575" s="28"/>
      <c r="B575" s="5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4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ht="15.75" customHeight="1">
      <c r="A576" s="28"/>
      <c r="B576" s="5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4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ht="15.75" customHeight="1">
      <c r="A577" s="28"/>
      <c r="B577" s="5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4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ht="15.75" customHeight="1">
      <c r="A578" s="28"/>
      <c r="B578" s="5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4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ht="15.75" customHeight="1">
      <c r="A579" s="28"/>
      <c r="B579" s="5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4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ht="15.75" customHeight="1">
      <c r="A580" s="28"/>
      <c r="B580" s="5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4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ht="15.75" customHeight="1">
      <c r="A581" s="28"/>
      <c r="B581" s="5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4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ht="15.75" customHeight="1">
      <c r="A582" s="28"/>
      <c r="B582" s="5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4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ht="15.75" customHeight="1">
      <c r="A583" s="28"/>
      <c r="B583" s="5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4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ht="15.75" customHeight="1">
      <c r="A584" s="28"/>
      <c r="B584" s="5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4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ht="15.75" customHeight="1">
      <c r="A585" s="28"/>
      <c r="B585" s="5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4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ht="15.75" customHeight="1">
      <c r="A586" s="28"/>
      <c r="B586" s="5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4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ht="15.75" customHeight="1">
      <c r="A587" s="28"/>
      <c r="B587" s="5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4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ht="15.75" customHeight="1">
      <c r="A588" s="28"/>
      <c r="B588" s="5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4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ht="15.75" customHeight="1">
      <c r="A589" s="28"/>
      <c r="B589" s="5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4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ht="15.75" customHeight="1">
      <c r="A590" s="28"/>
      <c r="B590" s="5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4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ht="15.75" customHeight="1">
      <c r="A591" s="28"/>
      <c r="B591" s="5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4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ht="15.75" customHeight="1">
      <c r="A592" s="28"/>
      <c r="B592" s="5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4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ht="15.75" customHeight="1">
      <c r="A593" s="28"/>
      <c r="B593" s="5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4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ht="15.75" customHeight="1">
      <c r="A594" s="28"/>
      <c r="B594" s="5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4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ht="15.75" customHeight="1">
      <c r="A595" s="28"/>
      <c r="B595" s="5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4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ht="15.75" customHeight="1">
      <c r="A596" s="28"/>
      <c r="B596" s="5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4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ht="15.75" customHeight="1">
      <c r="A597" s="28"/>
      <c r="B597" s="5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4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ht="15.75" customHeight="1">
      <c r="A598" s="28"/>
      <c r="B598" s="5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4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ht="15.75" customHeight="1">
      <c r="A599" s="28"/>
      <c r="B599" s="5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4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ht="15.75" customHeight="1">
      <c r="A600" s="28"/>
      <c r="B600" s="5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4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ht="15.75" customHeight="1">
      <c r="A601" s="28"/>
      <c r="B601" s="5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4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ht="15.75" customHeight="1">
      <c r="A602" s="28"/>
      <c r="B602" s="5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4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ht="15.75" customHeight="1">
      <c r="A603" s="28"/>
      <c r="B603" s="5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4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ht="15.75" customHeight="1">
      <c r="A604" s="28"/>
      <c r="B604" s="5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4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ht="15.75" customHeight="1">
      <c r="A605" s="28"/>
      <c r="B605" s="5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4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ht="15.75" customHeight="1">
      <c r="A606" s="28"/>
      <c r="B606" s="5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4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ht="15.75" customHeight="1">
      <c r="A607" s="28"/>
      <c r="B607" s="5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4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ht="15.75" customHeight="1">
      <c r="A608" s="28"/>
      <c r="B608" s="5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4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ht="15.75" customHeight="1">
      <c r="A609" s="28"/>
      <c r="B609" s="5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4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ht="15.75" customHeight="1">
      <c r="A610" s="28"/>
      <c r="B610" s="5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4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ht="15.75" customHeight="1">
      <c r="A611" s="28"/>
      <c r="B611" s="5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4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ht="15.75" customHeight="1">
      <c r="A612" s="28"/>
      <c r="B612" s="5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4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ht="15.75" customHeight="1">
      <c r="A613" s="28"/>
      <c r="B613" s="5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4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ht="15.75" customHeight="1">
      <c r="A614" s="28"/>
      <c r="B614" s="5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4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ht="15.75" customHeight="1">
      <c r="A615" s="28"/>
      <c r="B615" s="5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4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ht="15.75" customHeight="1">
      <c r="A616" s="28"/>
      <c r="B616" s="5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4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ht="15.75" customHeight="1">
      <c r="A617" s="28"/>
      <c r="B617" s="5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4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ht="15.75" customHeight="1">
      <c r="A618" s="28"/>
      <c r="B618" s="5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4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ht="15.75" customHeight="1">
      <c r="A619" s="28"/>
      <c r="B619" s="5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4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ht="15.75" customHeight="1">
      <c r="A620" s="28"/>
      <c r="B620" s="5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4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ht="15.75" customHeight="1">
      <c r="A621" s="28"/>
      <c r="B621" s="5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4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ht="15.75" customHeight="1">
      <c r="A622" s="28"/>
      <c r="B622" s="5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4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ht="15.75" customHeight="1">
      <c r="A623" s="28"/>
      <c r="B623" s="5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4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ht="15.75" customHeight="1">
      <c r="A624" s="28"/>
      <c r="B624" s="5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4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ht="15.75" customHeight="1">
      <c r="A625" s="28"/>
      <c r="B625" s="5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4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ht="15.75" customHeight="1">
      <c r="A626" s="28"/>
      <c r="B626" s="5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4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ht="15.75" customHeight="1">
      <c r="A627" s="28"/>
      <c r="B627" s="5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4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ht="15.75" customHeight="1">
      <c r="A628" s="28"/>
      <c r="B628" s="5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4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ht="15.75" customHeight="1">
      <c r="A629" s="28"/>
      <c r="B629" s="5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4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ht="15.75" customHeight="1">
      <c r="A630" s="28"/>
      <c r="B630" s="5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4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ht="15.75" customHeight="1">
      <c r="A631" s="28"/>
      <c r="B631" s="5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4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ht="15.75" customHeight="1">
      <c r="A632" s="28"/>
      <c r="B632" s="5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4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ht="15.75" customHeight="1">
      <c r="A633" s="28"/>
      <c r="B633" s="5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4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ht="15.75" customHeight="1">
      <c r="A634" s="28"/>
      <c r="B634" s="5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4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ht="15.75" customHeight="1">
      <c r="A635" s="28"/>
      <c r="B635" s="5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4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ht="15.75" customHeight="1">
      <c r="A636" s="28"/>
      <c r="B636" s="5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4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ht="15.75" customHeight="1">
      <c r="A637" s="28"/>
      <c r="B637" s="5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4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ht="15.75" customHeight="1">
      <c r="A638" s="28"/>
      <c r="B638" s="5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4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ht="15.75" customHeight="1">
      <c r="A639" s="28"/>
      <c r="B639" s="5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4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ht="15.75" customHeight="1">
      <c r="A640" s="28"/>
      <c r="B640" s="5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4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ht="15.75" customHeight="1">
      <c r="A641" s="28"/>
      <c r="B641" s="5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4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ht="15.75" customHeight="1">
      <c r="A642" s="28"/>
      <c r="B642" s="5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4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ht="15.75" customHeight="1">
      <c r="A643" s="28"/>
      <c r="B643" s="5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4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ht="15.75" customHeight="1">
      <c r="A644" s="28"/>
      <c r="B644" s="5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4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ht="15.75" customHeight="1">
      <c r="A645" s="28"/>
      <c r="B645" s="5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4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ht="15.75" customHeight="1">
      <c r="A646" s="28"/>
      <c r="B646" s="5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4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ht="15.75" customHeight="1">
      <c r="A647" s="28"/>
      <c r="B647" s="5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4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ht="15.75" customHeight="1">
      <c r="A648" s="28"/>
      <c r="B648" s="5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4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ht="15.75" customHeight="1">
      <c r="A649" s="28"/>
      <c r="B649" s="5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4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ht="15.75" customHeight="1">
      <c r="A650" s="28"/>
      <c r="B650" s="5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4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ht="15.75" customHeight="1">
      <c r="A651" s="28"/>
      <c r="B651" s="5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4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ht="15.75" customHeight="1">
      <c r="A652" s="28"/>
      <c r="B652" s="5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4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ht="15.75" customHeight="1">
      <c r="A653" s="28"/>
      <c r="B653" s="5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4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ht="15.75" customHeight="1">
      <c r="A654" s="28"/>
      <c r="B654" s="5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4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ht="15.75" customHeight="1">
      <c r="A655" s="28"/>
      <c r="B655" s="5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4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ht="15.75" customHeight="1">
      <c r="A656" s="28"/>
      <c r="B656" s="5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4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ht="15.75" customHeight="1">
      <c r="A657" s="28"/>
      <c r="B657" s="5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4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ht="15.75" customHeight="1">
      <c r="A658" s="28"/>
      <c r="B658" s="5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4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ht="15.75" customHeight="1">
      <c r="A659" s="28"/>
      <c r="B659" s="5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4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ht="15.75" customHeight="1">
      <c r="A660" s="28"/>
      <c r="B660" s="5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4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ht="15.75" customHeight="1">
      <c r="A661" s="28"/>
      <c r="B661" s="5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4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ht="15.75" customHeight="1">
      <c r="A662" s="28"/>
      <c r="B662" s="5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4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ht="15.75" customHeight="1">
      <c r="A663" s="28"/>
      <c r="B663" s="5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4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ht="15.75" customHeight="1">
      <c r="A664" s="28"/>
      <c r="B664" s="5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4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ht="15.75" customHeight="1">
      <c r="A665" s="28"/>
      <c r="B665" s="5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4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ht="15.75" customHeight="1">
      <c r="A666" s="28"/>
      <c r="B666" s="5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4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ht="15.75" customHeight="1">
      <c r="A667" s="28"/>
      <c r="B667" s="5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4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ht="15.75" customHeight="1">
      <c r="A668" s="28"/>
      <c r="B668" s="5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4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ht="15.75" customHeight="1">
      <c r="A669" s="28"/>
      <c r="B669" s="5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4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ht="15.75" customHeight="1">
      <c r="A670" s="28"/>
      <c r="B670" s="5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4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ht="15.75" customHeight="1">
      <c r="A671" s="28"/>
      <c r="B671" s="5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4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ht="15.75" customHeight="1">
      <c r="A672" s="28"/>
      <c r="B672" s="5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4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ht="15.75" customHeight="1">
      <c r="A673" s="28"/>
      <c r="B673" s="5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4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ht="15.75" customHeight="1">
      <c r="A674" s="28"/>
      <c r="B674" s="5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4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ht="15.75" customHeight="1">
      <c r="A675" s="28"/>
      <c r="B675" s="5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4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ht="15.75" customHeight="1">
      <c r="A676" s="28"/>
      <c r="B676" s="5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4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ht="15.75" customHeight="1">
      <c r="A677" s="28"/>
      <c r="B677" s="5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4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ht="15.75" customHeight="1">
      <c r="A678" s="28"/>
      <c r="B678" s="5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4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ht="15.75" customHeight="1">
      <c r="A679" s="28"/>
      <c r="B679" s="5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4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ht="15.75" customHeight="1">
      <c r="A680" s="28"/>
      <c r="B680" s="5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4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ht="15.75" customHeight="1">
      <c r="A681" s="28"/>
      <c r="B681" s="5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4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ht="15.75" customHeight="1">
      <c r="A682" s="28"/>
      <c r="B682" s="5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4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ht="15.75" customHeight="1">
      <c r="A683" s="28"/>
      <c r="B683" s="5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4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ht="15.75" customHeight="1">
      <c r="A684" s="28"/>
      <c r="B684" s="5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4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ht="15.75" customHeight="1">
      <c r="A685" s="28"/>
      <c r="B685" s="5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4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ht="15.75" customHeight="1">
      <c r="A686" s="28"/>
      <c r="B686" s="5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4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ht="15.75" customHeight="1">
      <c r="A687" s="28"/>
      <c r="B687" s="5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4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ht="15.75" customHeight="1">
      <c r="A688" s="28"/>
      <c r="B688" s="5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4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ht="15.75" customHeight="1">
      <c r="A689" s="28"/>
      <c r="B689" s="5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4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ht="15.75" customHeight="1">
      <c r="A690" s="28"/>
      <c r="B690" s="5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4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ht="15.75" customHeight="1">
      <c r="A691" s="28"/>
      <c r="B691" s="5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4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ht="15.75" customHeight="1">
      <c r="A692" s="28"/>
      <c r="B692" s="5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4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ht="15.75" customHeight="1">
      <c r="A693" s="28"/>
      <c r="B693" s="5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4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ht="15.75" customHeight="1">
      <c r="A694" s="28"/>
      <c r="B694" s="5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4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ht="15.75" customHeight="1">
      <c r="A695" s="28"/>
      <c r="B695" s="5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4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ht="15.75" customHeight="1">
      <c r="A696" s="28"/>
      <c r="B696" s="5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4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ht="15.75" customHeight="1">
      <c r="A697" s="28"/>
      <c r="B697" s="5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4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ht="15.75" customHeight="1">
      <c r="A698" s="28"/>
      <c r="B698" s="5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4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ht="15.75" customHeight="1">
      <c r="A699" s="28"/>
      <c r="B699" s="5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4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ht="15.75" customHeight="1">
      <c r="A700" s="28"/>
      <c r="B700" s="5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4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ht="15.75" customHeight="1">
      <c r="A701" s="28"/>
      <c r="B701" s="5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4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ht="15.75" customHeight="1">
      <c r="A702" s="28"/>
      <c r="B702" s="5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4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ht="15.75" customHeight="1">
      <c r="A703" s="28"/>
      <c r="B703" s="5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4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ht="15.75" customHeight="1">
      <c r="A704" s="28"/>
      <c r="B704" s="5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4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ht="15.75" customHeight="1">
      <c r="A705" s="28"/>
      <c r="B705" s="5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4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ht="15.75" customHeight="1">
      <c r="A706" s="28"/>
      <c r="B706" s="5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4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ht="15.75" customHeight="1">
      <c r="A707" s="28"/>
      <c r="B707" s="5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4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ht="15.75" customHeight="1">
      <c r="A708" s="28"/>
      <c r="B708" s="5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4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ht="15.75" customHeight="1">
      <c r="A709" s="28"/>
      <c r="B709" s="5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4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ht="15.75" customHeight="1">
      <c r="A710" s="28"/>
      <c r="B710" s="5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4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ht="15.75" customHeight="1">
      <c r="A711" s="28"/>
      <c r="B711" s="5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4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ht="15.75" customHeight="1">
      <c r="A712" s="28"/>
      <c r="B712" s="5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4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ht="15.75" customHeight="1">
      <c r="A713" s="28"/>
      <c r="B713" s="5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4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ht="15.75" customHeight="1">
      <c r="A714" s="28"/>
      <c r="B714" s="5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4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ht="15.75" customHeight="1">
      <c r="A715" s="28"/>
      <c r="B715" s="5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4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ht="15.75" customHeight="1">
      <c r="A716" s="28"/>
      <c r="B716" s="5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4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ht="15.75" customHeight="1">
      <c r="A717" s="28"/>
      <c r="B717" s="5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4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ht="15.75" customHeight="1">
      <c r="A718" s="28"/>
      <c r="B718" s="5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4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ht="15.75" customHeight="1">
      <c r="A719" s="28"/>
      <c r="B719" s="5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4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ht="15.75" customHeight="1">
      <c r="A720" s="28"/>
      <c r="B720" s="5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4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ht="15.75" customHeight="1">
      <c r="A721" s="28"/>
      <c r="B721" s="5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4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ht="15.75" customHeight="1">
      <c r="A722" s="28"/>
      <c r="B722" s="5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4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ht="15.75" customHeight="1">
      <c r="A723" s="28"/>
      <c r="B723" s="5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4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ht="15.75" customHeight="1">
      <c r="A724" s="28"/>
      <c r="B724" s="5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4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ht="15.75" customHeight="1">
      <c r="A725" s="28"/>
      <c r="B725" s="5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4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ht="15.75" customHeight="1">
      <c r="A726" s="28"/>
      <c r="B726" s="5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4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ht="15.75" customHeight="1">
      <c r="A727" s="28"/>
      <c r="B727" s="5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4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ht="15.75" customHeight="1">
      <c r="A728" s="28"/>
      <c r="B728" s="5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4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ht="15.75" customHeight="1">
      <c r="A729" s="28"/>
      <c r="B729" s="5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4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ht="15.75" customHeight="1">
      <c r="A730" s="28"/>
      <c r="B730" s="5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4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ht="15.75" customHeight="1">
      <c r="A731" s="28"/>
      <c r="B731" s="5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4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ht="15.75" customHeight="1">
      <c r="A732" s="28"/>
      <c r="B732" s="5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4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ht="15.75" customHeight="1">
      <c r="A733" s="28"/>
      <c r="B733" s="5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4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ht="15.75" customHeight="1">
      <c r="A734" s="28"/>
      <c r="B734" s="5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4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ht="15.75" customHeight="1">
      <c r="A735" s="28"/>
      <c r="B735" s="5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4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ht="15.75" customHeight="1">
      <c r="A736" s="28"/>
      <c r="B736" s="5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4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ht="15.75" customHeight="1">
      <c r="A737" s="28"/>
      <c r="B737" s="5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4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ht="15.75" customHeight="1">
      <c r="A738" s="28"/>
      <c r="B738" s="5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4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ht="15.75" customHeight="1">
      <c r="A739" s="28"/>
      <c r="B739" s="5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4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ht="15.75" customHeight="1">
      <c r="A740" s="28"/>
      <c r="B740" s="5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4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ht="15.75" customHeight="1">
      <c r="A741" s="28"/>
      <c r="B741" s="5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4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ht="15.75" customHeight="1">
      <c r="A742" s="28"/>
      <c r="B742" s="5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4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ht="15.75" customHeight="1">
      <c r="A743" s="28"/>
      <c r="B743" s="5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4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ht="15.75" customHeight="1">
      <c r="A744" s="28"/>
      <c r="B744" s="5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4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ht="15.75" customHeight="1">
      <c r="A745" s="28"/>
      <c r="B745" s="5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4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ht="15.75" customHeight="1">
      <c r="A746" s="28"/>
      <c r="B746" s="5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4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ht="15.75" customHeight="1">
      <c r="A747" s="28"/>
      <c r="B747" s="5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4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ht="15.75" customHeight="1">
      <c r="A748" s="28"/>
      <c r="B748" s="5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4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ht="15.75" customHeight="1">
      <c r="A749" s="28"/>
      <c r="B749" s="5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4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ht="15.75" customHeight="1">
      <c r="A750" s="28"/>
      <c r="B750" s="5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4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ht="15.75" customHeight="1">
      <c r="A751" s="28"/>
      <c r="B751" s="5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4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ht="15.75" customHeight="1">
      <c r="A752" s="28"/>
      <c r="B752" s="5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4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ht="15.75" customHeight="1">
      <c r="A753" s="28"/>
      <c r="B753" s="5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4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ht="15.75" customHeight="1">
      <c r="A754" s="28"/>
      <c r="B754" s="5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4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ht="15.75" customHeight="1">
      <c r="A755" s="28"/>
      <c r="B755" s="5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4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ht="15.75" customHeight="1">
      <c r="A756" s="28"/>
      <c r="B756" s="5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4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ht="15.75" customHeight="1">
      <c r="A757" s="28"/>
      <c r="B757" s="5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4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ht="15.75" customHeight="1">
      <c r="A758" s="28"/>
      <c r="B758" s="5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4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ht="15.75" customHeight="1">
      <c r="A759" s="28"/>
      <c r="B759" s="5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4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ht="15.75" customHeight="1">
      <c r="A760" s="28"/>
      <c r="B760" s="5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4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ht="15.75" customHeight="1">
      <c r="A761" s="28"/>
      <c r="B761" s="5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4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ht="15.75" customHeight="1">
      <c r="A762" s="28"/>
      <c r="B762" s="5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4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ht="15.75" customHeight="1">
      <c r="A763" s="28"/>
      <c r="B763" s="5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4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ht="15.75" customHeight="1">
      <c r="A764" s="28"/>
      <c r="B764" s="5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4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ht="15.75" customHeight="1">
      <c r="A765" s="28"/>
      <c r="B765" s="5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4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ht="15.75" customHeight="1">
      <c r="A766" s="28"/>
      <c r="B766" s="5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4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ht="15.75" customHeight="1">
      <c r="A767" s="28"/>
      <c r="B767" s="5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4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ht="15.75" customHeight="1">
      <c r="A768" s="28"/>
      <c r="B768" s="5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4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ht="15.75" customHeight="1">
      <c r="A769" s="28"/>
      <c r="B769" s="5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4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ht="15.75" customHeight="1">
      <c r="A770" s="28"/>
      <c r="B770" s="5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4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ht="15.75" customHeight="1">
      <c r="A771" s="28"/>
      <c r="B771" s="5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4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ht="15.75" customHeight="1">
      <c r="A772" s="28"/>
      <c r="B772" s="5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4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ht="15.75" customHeight="1">
      <c r="A773" s="28"/>
      <c r="B773" s="5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4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ht="15.75" customHeight="1">
      <c r="A774" s="28"/>
      <c r="B774" s="5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4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ht="15.75" customHeight="1">
      <c r="A775" s="28"/>
      <c r="B775" s="5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4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ht="15.75" customHeight="1">
      <c r="A776" s="28"/>
      <c r="B776" s="5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4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ht="15.75" customHeight="1">
      <c r="A777" s="28"/>
      <c r="B777" s="5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4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ht="15.75" customHeight="1">
      <c r="A778" s="28"/>
      <c r="B778" s="5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4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ht="15.75" customHeight="1">
      <c r="A779" s="28"/>
      <c r="B779" s="5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4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ht="15.75" customHeight="1">
      <c r="A780" s="28"/>
      <c r="B780" s="5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4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ht="15.75" customHeight="1">
      <c r="A781" s="28"/>
      <c r="B781" s="5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4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ht="15.75" customHeight="1">
      <c r="A782" s="28"/>
      <c r="B782" s="5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4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ht="15.75" customHeight="1">
      <c r="A783" s="28"/>
      <c r="B783" s="5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4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ht="15.75" customHeight="1">
      <c r="A784" s="28"/>
      <c r="B784" s="5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4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ht="15.75" customHeight="1">
      <c r="A785" s="28"/>
      <c r="B785" s="5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4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ht="15.75" customHeight="1">
      <c r="A786" s="28"/>
      <c r="B786" s="5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4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ht="15.75" customHeight="1">
      <c r="A787" s="28"/>
      <c r="B787" s="5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4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ht="15.75" customHeight="1">
      <c r="A788" s="28"/>
      <c r="B788" s="5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4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ht="15.75" customHeight="1">
      <c r="A789" s="28"/>
      <c r="B789" s="5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4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ht="15.75" customHeight="1">
      <c r="A790" s="28"/>
      <c r="B790" s="5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4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ht="15.75" customHeight="1">
      <c r="A791" s="28"/>
      <c r="B791" s="5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4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ht="15.75" customHeight="1">
      <c r="A792" s="28"/>
      <c r="B792" s="5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4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ht="15.75" customHeight="1">
      <c r="A793" s="28"/>
      <c r="B793" s="5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4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ht="15.75" customHeight="1">
      <c r="A794" s="28"/>
      <c r="B794" s="5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4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ht="15.75" customHeight="1">
      <c r="A795" s="28"/>
      <c r="B795" s="5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4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ht="15.75" customHeight="1">
      <c r="A796" s="28"/>
      <c r="B796" s="5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4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ht="15.75" customHeight="1">
      <c r="A797" s="28"/>
      <c r="B797" s="5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4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ht="15.75" customHeight="1">
      <c r="A798" s="28"/>
      <c r="B798" s="5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4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ht="15.75" customHeight="1">
      <c r="A799" s="28"/>
      <c r="B799" s="5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4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ht="15.75" customHeight="1">
      <c r="A800" s="28"/>
      <c r="B800" s="5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4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ht="15.75" customHeight="1">
      <c r="A801" s="28"/>
      <c r="B801" s="5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4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ht="15.75" customHeight="1">
      <c r="A802" s="28"/>
      <c r="B802" s="5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4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ht="15.75" customHeight="1">
      <c r="A803" s="28"/>
      <c r="B803" s="5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4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ht="15.75" customHeight="1">
      <c r="A804" s="28"/>
      <c r="B804" s="5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4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ht="15.75" customHeight="1">
      <c r="A805" s="28"/>
      <c r="B805" s="5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4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ht="15.75" customHeight="1">
      <c r="A806" s="28"/>
      <c r="B806" s="5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4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ht="15.75" customHeight="1">
      <c r="A807" s="28"/>
      <c r="B807" s="5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4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ht="15.75" customHeight="1">
      <c r="A808" s="28"/>
      <c r="B808" s="5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4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ht="15.75" customHeight="1">
      <c r="A809" s="28"/>
      <c r="B809" s="5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4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ht="15.75" customHeight="1">
      <c r="A810" s="28"/>
      <c r="B810" s="5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4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ht="15.75" customHeight="1">
      <c r="A811" s="28"/>
      <c r="B811" s="5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4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ht="15.75" customHeight="1">
      <c r="A812" s="28"/>
      <c r="B812" s="5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4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ht="15.75" customHeight="1">
      <c r="A813" s="28"/>
      <c r="B813" s="5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4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ht="15.75" customHeight="1">
      <c r="A814" s="28"/>
      <c r="B814" s="5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4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ht="15.75" customHeight="1">
      <c r="A815" s="28"/>
      <c r="B815" s="5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4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ht="15.75" customHeight="1">
      <c r="A816" s="28"/>
      <c r="B816" s="5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4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ht="15.75" customHeight="1">
      <c r="A817" s="28"/>
      <c r="B817" s="5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4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ht="15.75" customHeight="1">
      <c r="A818" s="28"/>
      <c r="B818" s="5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4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ht="15.75" customHeight="1">
      <c r="A819" s="28"/>
      <c r="B819" s="5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4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ht="15.75" customHeight="1">
      <c r="A820" s="28"/>
      <c r="B820" s="5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4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ht="15.75" customHeight="1">
      <c r="A821" s="28"/>
      <c r="B821" s="5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4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ht="15.75" customHeight="1">
      <c r="A822" s="28"/>
      <c r="B822" s="5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4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ht="15.75" customHeight="1">
      <c r="A823" s="28"/>
      <c r="B823" s="5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4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ht="15.75" customHeight="1">
      <c r="A824" s="28"/>
      <c r="B824" s="5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4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ht="15.75" customHeight="1">
      <c r="A825" s="28"/>
      <c r="B825" s="5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4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ht="15.75" customHeight="1">
      <c r="A826" s="28"/>
      <c r="B826" s="5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4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ht="15.75" customHeight="1">
      <c r="A827" s="28"/>
      <c r="B827" s="5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4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ht="15.75" customHeight="1">
      <c r="A828" s="28"/>
      <c r="B828" s="5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4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ht="15.75" customHeight="1">
      <c r="A829" s="28"/>
      <c r="B829" s="5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4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ht="15.75" customHeight="1">
      <c r="A830" s="28"/>
      <c r="B830" s="5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4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ht="15.75" customHeight="1">
      <c r="A831" s="28"/>
      <c r="B831" s="5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4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ht="15.75" customHeight="1">
      <c r="A832" s="28"/>
      <c r="B832" s="5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4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ht="15.75" customHeight="1">
      <c r="A833" s="28"/>
      <c r="B833" s="5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4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ht="15.75" customHeight="1">
      <c r="A834" s="28"/>
      <c r="B834" s="5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4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ht="15.75" customHeight="1">
      <c r="A835" s="28"/>
      <c r="B835" s="5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4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ht="15.75" customHeight="1">
      <c r="A836" s="28"/>
      <c r="B836" s="5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4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ht="15.75" customHeight="1">
      <c r="A837" s="28"/>
      <c r="B837" s="5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4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ht="15.75" customHeight="1">
      <c r="A838" s="28"/>
      <c r="B838" s="5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4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ht="15.75" customHeight="1">
      <c r="A839" s="28"/>
      <c r="B839" s="5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4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ht="15.75" customHeight="1">
      <c r="A840" s="28"/>
      <c r="B840" s="5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4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ht="15.75" customHeight="1">
      <c r="A841" s="28"/>
      <c r="B841" s="5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4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ht="15.75" customHeight="1">
      <c r="A842" s="28"/>
      <c r="B842" s="5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4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ht="15.75" customHeight="1">
      <c r="A843" s="28"/>
      <c r="B843" s="5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4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ht="15.75" customHeight="1">
      <c r="A844" s="28"/>
      <c r="B844" s="5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4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ht="15.75" customHeight="1">
      <c r="A845" s="28"/>
      <c r="B845" s="5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4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ht="15.75" customHeight="1">
      <c r="A846" s="28"/>
      <c r="B846" s="5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4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ht="15.75" customHeight="1">
      <c r="A847" s="28"/>
      <c r="B847" s="5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4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ht="15.75" customHeight="1">
      <c r="A848" s="28"/>
      <c r="B848" s="5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4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ht="15.75" customHeight="1">
      <c r="A849" s="28"/>
      <c r="B849" s="5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4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ht="15.75" customHeight="1">
      <c r="A850" s="28"/>
      <c r="B850" s="5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4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ht="15.75" customHeight="1">
      <c r="A851" s="28"/>
      <c r="B851" s="5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4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ht="15.75" customHeight="1">
      <c r="A852" s="28"/>
      <c r="B852" s="5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4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ht="15.75" customHeight="1">
      <c r="A853" s="28"/>
      <c r="B853" s="5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4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ht="15.75" customHeight="1">
      <c r="A854" s="28"/>
      <c r="B854" s="5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4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ht="15.75" customHeight="1">
      <c r="A855" s="28"/>
      <c r="B855" s="5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4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ht="15.75" customHeight="1">
      <c r="A856" s="28"/>
      <c r="B856" s="5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4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ht="15.75" customHeight="1">
      <c r="A857" s="28"/>
      <c r="B857" s="5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4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ht="15.75" customHeight="1">
      <c r="A858" s="28"/>
      <c r="B858" s="5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4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ht="15.75" customHeight="1">
      <c r="A859" s="28"/>
      <c r="B859" s="5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4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ht="15.75" customHeight="1">
      <c r="A860" s="28"/>
      <c r="B860" s="5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4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ht="15.75" customHeight="1">
      <c r="A861" s="28"/>
      <c r="B861" s="5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4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ht="15.75" customHeight="1">
      <c r="A862" s="28"/>
      <c r="B862" s="5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4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ht="15.75" customHeight="1">
      <c r="A863" s="28"/>
      <c r="B863" s="5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4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ht="15.75" customHeight="1">
      <c r="A864" s="28"/>
      <c r="B864" s="5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4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ht="15.75" customHeight="1">
      <c r="A865" s="28"/>
      <c r="B865" s="5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4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ht="15.75" customHeight="1">
      <c r="A866" s="28"/>
      <c r="B866" s="5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4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ht="15.75" customHeight="1">
      <c r="A867" s="28"/>
      <c r="B867" s="5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4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ht="15.75" customHeight="1">
      <c r="A868" s="28"/>
      <c r="B868" s="5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4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ht="15.75" customHeight="1">
      <c r="A869" s="28"/>
      <c r="B869" s="5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4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ht="15.75" customHeight="1">
      <c r="A870" s="28"/>
      <c r="B870" s="5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4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ht="15.75" customHeight="1">
      <c r="A871" s="28"/>
      <c r="B871" s="5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4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ht="15.75" customHeight="1">
      <c r="A872" s="28"/>
      <c r="B872" s="5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4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ht="15.75" customHeight="1">
      <c r="A873" s="28"/>
      <c r="B873" s="5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4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ht="15.75" customHeight="1">
      <c r="A874" s="28"/>
      <c r="B874" s="5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4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ht="15.75" customHeight="1">
      <c r="A875" s="28"/>
      <c r="B875" s="5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4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ht="15.75" customHeight="1">
      <c r="A876" s="28"/>
      <c r="B876" s="5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4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ht="15.75" customHeight="1">
      <c r="A877" s="28"/>
      <c r="B877" s="5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4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ht="15.75" customHeight="1">
      <c r="A878" s="28"/>
      <c r="B878" s="5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4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ht="15.75" customHeight="1">
      <c r="A879" s="28"/>
      <c r="B879" s="5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4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ht="15.75" customHeight="1">
      <c r="A880" s="28"/>
      <c r="B880" s="5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4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ht="15.75" customHeight="1">
      <c r="A881" s="28"/>
      <c r="B881" s="5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4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ht="15.75" customHeight="1">
      <c r="A882" s="28"/>
      <c r="B882" s="5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4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ht="15.75" customHeight="1">
      <c r="A883" s="28"/>
      <c r="B883" s="5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4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ht="15.75" customHeight="1">
      <c r="A884" s="28"/>
      <c r="B884" s="5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4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ht="15.75" customHeight="1">
      <c r="A885" s="28"/>
      <c r="B885" s="5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4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ht="15.75" customHeight="1">
      <c r="A886" s="28"/>
      <c r="B886" s="5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4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ht="15.75" customHeight="1">
      <c r="A887" s="28"/>
      <c r="B887" s="5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4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ht="15.75" customHeight="1">
      <c r="A888" s="28"/>
      <c r="B888" s="5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4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ht="15.75" customHeight="1">
      <c r="A889" s="28"/>
      <c r="B889" s="5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4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ht="15.75" customHeight="1">
      <c r="A890" s="28"/>
      <c r="B890" s="5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4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ht="15.75" customHeight="1">
      <c r="A891" s="28"/>
      <c r="B891" s="5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4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ht="15.75" customHeight="1">
      <c r="A892" s="28"/>
      <c r="B892" s="5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4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ht="15.75" customHeight="1">
      <c r="A893" s="28"/>
      <c r="B893" s="5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4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ht="15.75" customHeight="1">
      <c r="A894" s="28"/>
      <c r="B894" s="5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4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ht="15.75" customHeight="1">
      <c r="A895" s="28"/>
      <c r="B895" s="5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4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ht="15.75" customHeight="1">
      <c r="A896" s="28"/>
      <c r="B896" s="5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4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ht="15.75" customHeight="1">
      <c r="A897" s="28"/>
      <c r="B897" s="5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4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ht="15.75" customHeight="1">
      <c r="A898" s="28"/>
      <c r="B898" s="5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4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ht="15.75" customHeight="1">
      <c r="A899" s="28"/>
      <c r="B899" s="5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4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ht="15.75" customHeight="1">
      <c r="A900" s="28"/>
      <c r="B900" s="5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4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ht="15.75" customHeight="1">
      <c r="A901" s="28"/>
      <c r="B901" s="5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4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ht="15.75" customHeight="1">
      <c r="A902" s="28"/>
      <c r="B902" s="5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4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ht="15.75" customHeight="1">
      <c r="A903" s="28"/>
      <c r="B903" s="5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4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ht="15.75" customHeight="1">
      <c r="A904" s="28"/>
      <c r="B904" s="5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4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ht="15.75" customHeight="1">
      <c r="A905" s="28"/>
      <c r="B905" s="5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4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ht="15.75" customHeight="1">
      <c r="A906" s="28"/>
      <c r="B906" s="5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4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ht="15.75" customHeight="1">
      <c r="A907" s="28"/>
      <c r="B907" s="5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4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ht="15.75" customHeight="1">
      <c r="A908" s="28"/>
      <c r="B908" s="5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4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ht="15.75" customHeight="1">
      <c r="A909" s="28"/>
      <c r="B909" s="5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4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ht="15.75" customHeight="1">
      <c r="A910" s="28"/>
      <c r="B910" s="5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4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ht="15.75" customHeight="1">
      <c r="A911" s="28"/>
      <c r="B911" s="5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4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ht="15.75" customHeight="1">
      <c r="A912" s="28"/>
      <c r="B912" s="5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4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ht="15.75" customHeight="1">
      <c r="A913" s="28"/>
      <c r="B913" s="5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4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ht="15.75" customHeight="1">
      <c r="A914" s="28"/>
      <c r="B914" s="5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4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ht="15.75" customHeight="1">
      <c r="A915" s="28"/>
      <c r="B915" s="5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4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ht="15.75" customHeight="1">
      <c r="A916" s="28"/>
      <c r="B916" s="5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4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ht="15.75" customHeight="1">
      <c r="A917" s="28"/>
      <c r="B917" s="5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4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ht="15.75" customHeight="1">
      <c r="A918" s="28"/>
      <c r="B918" s="5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4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ht="15.75" customHeight="1">
      <c r="A919" s="28"/>
      <c r="B919" s="5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4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ht="15.75" customHeight="1">
      <c r="A920" s="28"/>
      <c r="B920" s="5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4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ht="15.75" customHeight="1">
      <c r="A921" s="28"/>
      <c r="B921" s="5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4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ht="15.75" customHeight="1">
      <c r="A922" s="28"/>
      <c r="B922" s="5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4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ht="15.75" customHeight="1">
      <c r="A923" s="28"/>
      <c r="B923" s="5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4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ht="15.75" customHeight="1">
      <c r="A924" s="28"/>
      <c r="B924" s="5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4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ht="15.75" customHeight="1">
      <c r="A925" s="28"/>
      <c r="B925" s="5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4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ht="15.75" customHeight="1">
      <c r="A926" s="28"/>
      <c r="B926" s="5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4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ht="15.75" customHeight="1">
      <c r="A927" s="28"/>
      <c r="B927" s="5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4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ht="15.75" customHeight="1">
      <c r="A928" s="28"/>
      <c r="B928" s="5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4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ht="15.75" customHeight="1">
      <c r="A929" s="28"/>
      <c r="B929" s="5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4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ht="15.75" customHeight="1">
      <c r="A930" s="28"/>
      <c r="B930" s="5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4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ht="15.75" customHeight="1">
      <c r="A931" s="28"/>
      <c r="B931" s="5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4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ht="15.75" customHeight="1">
      <c r="A932" s="28"/>
      <c r="B932" s="5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4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ht="15.75" customHeight="1">
      <c r="A933" s="28"/>
      <c r="B933" s="5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4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ht="15.75" customHeight="1">
      <c r="A934" s="28"/>
      <c r="B934" s="5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4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ht="15.75" customHeight="1">
      <c r="A935" s="28"/>
      <c r="B935" s="5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4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ht="15.75" customHeight="1">
      <c r="A936" s="28"/>
      <c r="B936" s="5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4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ht="15.75" customHeight="1">
      <c r="A937" s="28"/>
      <c r="B937" s="5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4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ht="15.75" customHeight="1">
      <c r="A938" s="28"/>
      <c r="B938" s="5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4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ht="15.75" customHeight="1">
      <c r="A939" s="28"/>
      <c r="B939" s="5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4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ht="15.75" customHeight="1">
      <c r="A940" s="28"/>
      <c r="B940" s="5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4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ht="15.75" customHeight="1">
      <c r="A941" s="28"/>
      <c r="B941" s="5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4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ht="15.75" customHeight="1">
      <c r="A942" s="28"/>
      <c r="B942" s="5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4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ht="15.75" customHeight="1">
      <c r="A943" s="28"/>
      <c r="B943" s="5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4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ht="15.75" customHeight="1">
      <c r="A944" s="28"/>
      <c r="B944" s="5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4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ht="15.75" customHeight="1">
      <c r="A945" s="28"/>
      <c r="B945" s="5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4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ht="15.75" customHeight="1">
      <c r="A946" s="28"/>
      <c r="B946" s="5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4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ht="15.75" customHeight="1">
      <c r="A947" s="28"/>
      <c r="B947" s="5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4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ht="15.75" customHeight="1">
      <c r="A948" s="28"/>
      <c r="B948" s="5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4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ht="15.75" customHeight="1">
      <c r="A949" s="28"/>
      <c r="B949" s="5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4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ht="15.75" customHeight="1">
      <c r="A950" s="28"/>
      <c r="B950" s="5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4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ht="15.75" customHeight="1">
      <c r="A951" s="28"/>
      <c r="B951" s="5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4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ht="15.75" customHeight="1">
      <c r="A952" s="28"/>
      <c r="B952" s="5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4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ht="15.75" customHeight="1">
      <c r="A953" s="28"/>
      <c r="B953" s="5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4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ht="15.75" customHeight="1">
      <c r="A954" s="28"/>
      <c r="B954" s="5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4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ht="15.75" customHeight="1">
      <c r="A955" s="28"/>
      <c r="B955" s="5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4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ht="15.75" customHeight="1">
      <c r="A956" s="28"/>
      <c r="B956" s="5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4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ht="15.75" customHeight="1">
      <c r="A957" s="28"/>
      <c r="B957" s="5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4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ht="15.75" customHeight="1">
      <c r="A958" s="28"/>
      <c r="B958" s="5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4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ht="15.75" customHeight="1">
      <c r="A959" s="28"/>
      <c r="B959" s="5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4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ht="15.75" customHeight="1">
      <c r="A960" s="28"/>
      <c r="B960" s="5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4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ht="15.75" customHeight="1">
      <c r="A961" s="28"/>
      <c r="B961" s="5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4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ht="15.75" customHeight="1">
      <c r="A962" s="28"/>
      <c r="B962" s="5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4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ht="15.75" customHeight="1">
      <c r="A963" s="28"/>
      <c r="B963" s="5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4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ht="15.75" customHeight="1">
      <c r="A964" s="28"/>
      <c r="B964" s="5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4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ht="15.75" customHeight="1">
      <c r="A965" s="28"/>
      <c r="B965" s="5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4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ht="15.75" customHeight="1">
      <c r="A966" s="28"/>
      <c r="B966" s="5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4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ht="15.75" customHeight="1">
      <c r="A967" s="28"/>
      <c r="B967" s="5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4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ht="15.75" customHeight="1">
      <c r="A968" s="28"/>
      <c r="B968" s="5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4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ht="15.75" customHeight="1">
      <c r="A969" s="28"/>
      <c r="B969" s="5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4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ht="15.75" customHeight="1">
      <c r="A970" s="28"/>
      <c r="B970" s="5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4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ht="15.75" customHeight="1">
      <c r="A971" s="28"/>
      <c r="B971" s="5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4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ht="15.75" customHeight="1">
      <c r="A972" s="28"/>
      <c r="B972" s="5"/>
      <c r="C972" s="4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4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ht="15.75" customHeight="1">
      <c r="A973" s="28"/>
      <c r="B973" s="5"/>
      <c r="C973" s="4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4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ht="15.75" customHeight="1">
      <c r="A974" s="28"/>
      <c r="B974" s="5"/>
      <c r="C974" s="4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4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ht="15.75" customHeight="1">
      <c r="A975" s="28"/>
      <c r="B975" s="5"/>
      <c r="C975" s="4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4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ht="15.75" customHeight="1">
      <c r="A976" s="28"/>
      <c r="B976" s="5"/>
      <c r="C976" s="4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4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ht="15.75" customHeight="1">
      <c r="A977" s="28"/>
      <c r="B977" s="5"/>
      <c r="C977" s="4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4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ht="15.75" customHeight="1">
      <c r="A978" s="28"/>
      <c r="B978" s="5"/>
      <c r="C978" s="4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4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ht="15.75" customHeight="1">
      <c r="A979" s="28"/>
      <c r="B979" s="5"/>
      <c r="C979" s="4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4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ht="15.75" customHeight="1">
      <c r="A980" s="28"/>
      <c r="B980" s="5"/>
      <c r="C980" s="4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4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ht="15.75" customHeight="1">
      <c r="A981" s="28"/>
      <c r="B981" s="5"/>
      <c r="C981" s="4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4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ht="15.75" customHeight="1">
      <c r="A982" s="28"/>
      <c r="B982" s="5"/>
      <c r="C982" s="4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4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ht="15.75" customHeight="1">
      <c r="A983" s="28"/>
      <c r="B983" s="5"/>
      <c r="C983" s="4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4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ht="15.75" customHeight="1">
      <c r="A984" s="28"/>
      <c r="B984" s="5"/>
      <c r="C984" s="4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4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ht="15.75" customHeight="1">
      <c r="A985" s="28"/>
      <c r="B985" s="5"/>
      <c r="C985" s="4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4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ht="15.75" customHeight="1">
      <c r="A986" s="28"/>
      <c r="B986" s="5"/>
      <c r="C986" s="4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4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ht="15.75" customHeight="1">
      <c r="A987" s="28"/>
      <c r="B987" s="5"/>
      <c r="C987" s="4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4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ht="15.75" customHeight="1">
      <c r="A988" s="28"/>
      <c r="B988" s="5"/>
      <c r="C988" s="4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4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ht="15.75" customHeight="1">
      <c r="A989" s="28"/>
      <c r="B989" s="5"/>
      <c r="C989" s="4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4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ht="15.75" customHeight="1">
      <c r="A990" s="28"/>
      <c r="B990" s="5"/>
      <c r="C990" s="4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4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ht="15.75" customHeight="1">
      <c r="A991" s="28"/>
      <c r="B991" s="5"/>
      <c r="C991" s="4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4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ht="15.75" customHeight="1">
      <c r="A992" s="28"/>
      <c r="B992" s="5"/>
      <c r="C992" s="4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4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ht="15.75" customHeight="1">
      <c r="A993" s="28"/>
      <c r="B993" s="5"/>
      <c r="C993" s="4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4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ht="15.75" customHeight="1">
      <c r="A994" s="28"/>
      <c r="B994" s="5"/>
      <c r="C994" s="4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4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ht="15.75" customHeight="1">
      <c r="A995" s="28"/>
      <c r="B995" s="5"/>
      <c r="C995" s="4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4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ht="15.75" customHeight="1">
      <c r="A996" s="28"/>
      <c r="B996" s="5"/>
      <c r="C996" s="4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4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ht="15.75" customHeight="1">
      <c r="A997" s="28"/>
      <c r="B997" s="5"/>
      <c r="C997" s="4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4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ht="15.75" customHeight="1">
      <c r="A998" s="28"/>
      <c r="B998" s="5"/>
      <c r="C998" s="4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4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ht="15.75" customHeight="1">
      <c r="A999" s="28"/>
      <c r="B999" s="5"/>
      <c r="C999" s="4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4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57"/>
    <col customWidth="1" min="2" max="2" width="37.71"/>
    <col customWidth="1" min="3" max="3" width="10.43"/>
    <col customWidth="1" min="4" max="4" width="9.14"/>
    <col customWidth="1" min="5" max="32" width="8.71"/>
    <col customWidth="1" min="33" max="33" width="12.71"/>
    <col customWidth="1" min="34" max="34" width="13.29"/>
    <col customWidth="1" min="35" max="51" width="8.71"/>
  </cols>
  <sheetData>
    <row r="1">
      <c r="A1" s="1"/>
      <c r="B1" s="2" t="s">
        <v>0</v>
      </c>
      <c r="C1" s="3" t="s">
        <v>1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4"/>
      <c r="AH1" s="29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>
      <c r="A2" s="6"/>
      <c r="B2" s="30" t="s">
        <v>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/>
      <c r="AH2" s="31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ht="21.0" customHeight="1">
      <c r="A3" s="32"/>
      <c r="B3" s="33" t="s">
        <v>188</v>
      </c>
      <c r="C3" s="34">
        <v>1.0</v>
      </c>
      <c r="D3" s="35">
        <v>2.0</v>
      </c>
      <c r="E3" s="34">
        <v>3.0</v>
      </c>
      <c r="F3" s="34">
        <v>4.0</v>
      </c>
      <c r="G3" s="35">
        <v>5.0</v>
      </c>
      <c r="H3" s="34">
        <v>6.0</v>
      </c>
      <c r="I3" s="34">
        <v>7.0</v>
      </c>
      <c r="J3" s="35">
        <v>8.0</v>
      </c>
      <c r="K3" s="34">
        <v>9.0</v>
      </c>
      <c r="L3" s="34">
        <v>10.0</v>
      </c>
      <c r="M3" s="35">
        <v>11.0</v>
      </c>
      <c r="N3" s="34">
        <v>12.0</v>
      </c>
      <c r="O3" s="34">
        <v>13.0</v>
      </c>
      <c r="P3" s="35">
        <v>14.0</v>
      </c>
      <c r="Q3" s="34">
        <v>15.0</v>
      </c>
      <c r="R3" s="34">
        <v>16.0</v>
      </c>
      <c r="S3" s="35">
        <v>17.0</v>
      </c>
      <c r="T3" s="34">
        <v>18.0</v>
      </c>
      <c r="U3" s="34">
        <v>19.0</v>
      </c>
      <c r="V3" s="35">
        <v>20.0</v>
      </c>
      <c r="W3" s="34">
        <v>21.0</v>
      </c>
      <c r="X3" s="34">
        <v>22.0</v>
      </c>
      <c r="Y3" s="35">
        <v>23.0</v>
      </c>
      <c r="Z3" s="34">
        <v>24.0</v>
      </c>
      <c r="AA3" s="34">
        <v>25.0</v>
      </c>
      <c r="AB3" s="35">
        <v>26.0</v>
      </c>
      <c r="AC3" s="34">
        <v>27.0</v>
      </c>
      <c r="AD3" s="34">
        <v>28.0</v>
      </c>
      <c r="AE3" s="35">
        <v>29.0</v>
      </c>
      <c r="AF3" s="34">
        <v>30.0</v>
      </c>
      <c r="AG3" s="34"/>
      <c r="AH3" s="36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</row>
    <row r="4">
      <c r="A4" s="16" t="s">
        <v>6</v>
      </c>
      <c r="B4" s="17" t="s">
        <v>7</v>
      </c>
      <c r="C4" s="38" t="s">
        <v>8</v>
      </c>
      <c r="D4" s="38" t="s">
        <v>8</v>
      </c>
      <c r="E4" s="38" t="s">
        <v>8</v>
      </c>
      <c r="F4" s="38" t="s">
        <v>8</v>
      </c>
      <c r="G4" s="38" t="s">
        <v>8</v>
      </c>
      <c r="H4" s="38" t="s">
        <v>8</v>
      </c>
      <c r="I4" s="38" t="s">
        <v>8</v>
      </c>
      <c r="J4" s="38" t="s">
        <v>8</v>
      </c>
      <c r="K4" s="38" t="s">
        <v>8</v>
      </c>
      <c r="L4" s="38" t="s">
        <v>8</v>
      </c>
      <c r="M4" s="38" t="s">
        <v>8</v>
      </c>
      <c r="N4" s="38" t="s">
        <v>8</v>
      </c>
      <c r="O4" s="38" t="s">
        <v>8</v>
      </c>
      <c r="P4" s="38" t="s">
        <v>8</v>
      </c>
      <c r="Q4" s="38" t="s">
        <v>8</v>
      </c>
      <c r="R4" s="38" t="s">
        <v>8</v>
      </c>
      <c r="S4" s="38" t="s">
        <v>8</v>
      </c>
      <c r="T4" s="38" t="s">
        <v>8</v>
      </c>
      <c r="U4" s="38" t="s">
        <v>8</v>
      </c>
      <c r="V4" s="38" t="s">
        <v>8</v>
      </c>
      <c r="W4" s="38" t="s">
        <v>8</v>
      </c>
      <c r="X4" s="38" t="s">
        <v>8</v>
      </c>
      <c r="Y4" s="38" t="s">
        <v>8</v>
      </c>
      <c r="Z4" s="38" t="s">
        <v>8</v>
      </c>
      <c r="AA4" s="38" t="s">
        <v>8</v>
      </c>
      <c r="AB4" s="38" t="s">
        <v>8</v>
      </c>
      <c r="AC4" s="38" t="s">
        <v>8</v>
      </c>
      <c r="AD4" s="38" t="s">
        <v>8</v>
      </c>
      <c r="AE4" s="38" t="s">
        <v>8</v>
      </c>
      <c r="AF4" s="38" t="s">
        <v>8</v>
      </c>
      <c r="AG4" s="39" t="s">
        <v>9</v>
      </c>
      <c r="AH4" s="40" t="s">
        <v>189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>
      <c r="A5" s="19" t="s">
        <v>10</v>
      </c>
      <c r="B5" s="41" t="s">
        <v>190</v>
      </c>
      <c r="C5" s="24">
        <v>24.0</v>
      </c>
      <c r="D5" s="4"/>
      <c r="E5" s="5"/>
      <c r="F5" s="5"/>
      <c r="G5" s="5"/>
      <c r="H5" s="21">
        <v>120.0</v>
      </c>
      <c r="I5" s="21">
        <v>20.0</v>
      </c>
      <c r="J5" s="5"/>
      <c r="K5" s="5"/>
      <c r="L5" s="21"/>
      <c r="M5" s="5"/>
      <c r="N5" s="5"/>
      <c r="O5" s="5"/>
      <c r="P5" s="5"/>
      <c r="Q5" s="5"/>
      <c r="R5" s="5"/>
      <c r="S5" s="5"/>
      <c r="T5" s="5"/>
      <c r="U5" s="5"/>
      <c r="V5" s="5"/>
      <c r="W5" s="21"/>
      <c r="X5" s="21"/>
      <c r="Y5" s="5"/>
      <c r="Z5" s="5"/>
      <c r="AA5" s="5"/>
      <c r="AB5" s="5"/>
      <c r="AC5" s="5"/>
      <c r="AD5" s="5"/>
      <c r="AE5" s="5"/>
      <c r="AF5" s="21"/>
      <c r="AG5" s="22">
        <f t="shared" ref="AG5:AG93" si="1">sum(C5:AF5)</f>
        <v>164</v>
      </c>
      <c r="AH5" s="29">
        <f>AG5 *5.93</f>
        <v>972.52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>
      <c r="A6" s="19" t="s">
        <v>12</v>
      </c>
      <c r="B6" s="20" t="s">
        <v>13</v>
      </c>
      <c r="C6" s="4"/>
      <c r="D6" s="4"/>
      <c r="E6" s="5"/>
      <c r="F6" s="5"/>
      <c r="G6" s="5"/>
      <c r="H6" s="21">
        <v>48.0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22">
        <f t="shared" si="1"/>
        <v>48</v>
      </c>
      <c r="AH6" s="29">
        <f t="shared" ref="AH6:AH7" si="2">AG6 *63.5</f>
        <v>3048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>
      <c r="A7" s="19" t="s">
        <v>14</v>
      </c>
      <c r="B7" s="20" t="s">
        <v>15</v>
      </c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22">
        <f t="shared" si="1"/>
        <v>0</v>
      </c>
      <c r="AH7" s="29">
        <f t="shared" si="2"/>
        <v>0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>
      <c r="A8" s="19" t="s">
        <v>16</v>
      </c>
      <c r="B8" s="20" t="s">
        <v>17</v>
      </c>
      <c r="C8" s="4"/>
      <c r="D8" s="4"/>
      <c r="E8" s="21">
        <v>12.0</v>
      </c>
      <c r="F8" s="5"/>
      <c r="G8" s="5"/>
      <c r="H8" s="2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22">
        <f t="shared" si="1"/>
        <v>12</v>
      </c>
      <c r="AH8" s="29">
        <f>AG8 *185.76</f>
        <v>2229.12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>
      <c r="A9" s="19" t="s">
        <v>18</v>
      </c>
      <c r="B9" s="20" t="s">
        <v>19</v>
      </c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22">
        <f t="shared" si="1"/>
        <v>0</v>
      </c>
      <c r="AH9" s="29">
        <f t="shared" ref="AH9:AH15" si="3">AG9 *63.5</f>
        <v>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>
      <c r="A10" s="19" t="s">
        <v>20</v>
      </c>
      <c r="B10" s="41" t="s">
        <v>191</v>
      </c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22">
        <f t="shared" si="1"/>
        <v>0</v>
      </c>
      <c r="AH10" s="29">
        <f t="shared" si="3"/>
        <v>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>
      <c r="A11" s="19" t="s">
        <v>22</v>
      </c>
      <c r="B11" s="20" t="s">
        <v>23</v>
      </c>
      <c r="C11" s="24"/>
      <c r="D11" s="4"/>
      <c r="E11" s="5"/>
      <c r="F11" s="2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22">
        <f t="shared" si="1"/>
        <v>0</v>
      </c>
      <c r="AH11" s="29">
        <f t="shared" si="3"/>
        <v>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>
      <c r="A12" s="19" t="s">
        <v>24</v>
      </c>
      <c r="B12" s="20" t="s">
        <v>25</v>
      </c>
      <c r="C12" s="24"/>
      <c r="D12" s="4"/>
      <c r="E12" s="5"/>
      <c r="F12" s="2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22">
        <f t="shared" si="1"/>
        <v>0</v>
      </c>
      <c r="AH12" s="29">
        <f t="shared" si="3"/>
        <v>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>
      <c r="A13" s="19" t="s">
        <v>26</v>
      </c>
      <c r="B13" s="20" t="s">
        <v>27</v>
      </c>
      <c r="C13" s="4"/>
      <c r="D13" s="4"/>
      <c r="E13" s="5"/>
      <c r="F13" s="5"/>
      <c r="G13" s="5"/>
      <c r="H13" s="5"/>
      <c r="I13" s="5"/>
      <c r="J13" s="2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22">
        <f t="shared" si="1"/>
        <v>0</v>
      </c>
      <c r="AH13" s="29">
        <f t="shared" si="3"/>
        <v>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>
      <c r="A14" s="19" t="s">
        <v>28</v>
      </c>
      <c r="B14" s="20" t="s">
        <v>29</v>
      </c>
      <c r="C14" s="24"/>
      <c r="D14" s="4"/>
      <c r="E14" s="5"/>
      <c r="F14" s="21"/>
      <c r="G14" s="5"/>
      <c r="H14" s="5"/>
      <c r="I14" s="5"/>
      <c r="J14" s="2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22">
        <f t="shared" si="1"/>
        <v>0</v>
      </c>
      <c r="AH14" s="29">
        <f t="shared" si="3"/>
        <v>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>
      <c r="A15" s="19" t="s">
        <v>30</v>
      </c>
      <c r="B15" s="20" t="s">
        <v>31</v>
      </c>
      <c r="C15" s="4"/>
      <c r="D15" s="4"/>
      <c r="E15" s="5"/>
      <c r="F15" s="5"/>
      <c r="G15" s="5"/>
      <c r="H15" s="5"/>
      <c r="I15" s="5"/>
      <c r="J15" s="2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22">
        <f t="shared" si="1"/>
        <v>0</v>
      </c>
      <c r="AH15" s="29">
        <f t="shared" si="3"/>
        <v>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>
      <c r="A16" s="19" t="s">
        <v>32</v>
      </c>
      <c r="B16" s="41" t="s">
        <v>192</v>
      </c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22">
        <f t="shared" si="1"/>
        <v>0</v>
      </c>
      <c r="AH16" s="29">
        <f>AG16 *17.8</f>
        <v>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>
      <c r="A17" s="19" t="s">
        <v>34</v>
      </c>
      <c r="B17" s="20" t="s">
        <v>35</v>
      </c>
      <c r="C17" s="4"/>
      <c r="D17" s="4"/>
      <c r="E17" s="5"/>
      <c r="F17" s="5"/>
      <c r="G17" s="5"/>
      <c r="H17" s="5"/>
      <c r="I17" s="5"/>
      <c r="J17" s="2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22">
        <f t="shared" si="1"/>
        <v>0</v>
      </c>
      <c r="AH17" s="29">
        <f t="shared" ref="AH17:AH18" si="4">AG17 *63.5</f>
        <v>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>
      <c r="A18" s="19" t="s">
        <v>36</v>
      </c>
      <c r="B18" s="20" t="s">
        <v>37</v>
      </c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22">
        <f t="shared" si="1"/>
        <v>0</v>
      </c>
      <c r="AH18" s="29">
        <f t="shared" si="4"/>
        <v>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t="15.75" customHeight="1">
      <c r="A19" s="19" t="s">
        <v>38</v>
      </c>
      <c r="B19" s="20" t="s">
        <v>39</v>
      </c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22">
        <f t="shared" si="1"/>
        <v>0</v>
      </c>
      <c r="AH19" s="29">
        <f>AG19 *268.44</f>
        <v>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t="15.75" customHeight="1">
      <c r="A20" s="19" t="s">
        <v>40</v>
      </c>
      <c r="B20" s="20" t="s">
        <v>41</v>
      </c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22">
        <f t="shared" si="1"/>
        <v>0</v>
      </c>
      <c r="AH20" s="29">
        <f>AG20 *63.5</f>
        <v>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t="15.75" customHeight="1">
      <c r="A21" s="19" t="s">
        <v>42</v>
      </c>
      <c r="B21" s="20" t="s">
        <v>43</v>
      </c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22">
        <f t="shared" si="1"/>
        <v>0</v>
      </c>
      <c r="AH21" s="29">
        <f>AG21 *33.9</f>
        <v>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t="15.75" customHeight="1">
      <c r="A22" s="19" t="s">
        <v>44</v>
      </c>
      <c r="B22" s="20" t="s">
        <v>45</v>
      </c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22">
        <f t="shared" si="1"/>
        <v>0</v>
      </c>
      <c r="AH22" s="29">
        <f>AG22 *63.5</f>
        <v>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15.75" customHeight="1">
      <c r="A23" s="19" t="s">
        <v>46</v>
      </c>
      <c r="B23" s="20" t="s">
        <v>47</v>
      </c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22">
        <f t="shared" si="1"/>
        <v>0</v>
      </c>
      <c r="AH23" s="29">
        <f>AG23 *79.66</f>
        <v>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ht="15.75" customHeight="1">
      <c r="A24" s="19" t="s">
        <v>48</v>
      </c>
      <c r="B24" s="23" t="s">
        <v>49</v>
      </c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22">
        <f t="shared" si="1"/>
        <v>0</v>
      </c>
      <c r="AH24" s="29">
        <f t="shared" ref="AH24:AH30" si="5">AG24 *63.5</f>
        <v>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ht="15.75" customHeight="1">
      <c r="A25" s="19" t="s">
        <v>50</v>
      </c>
      <c r="B25" s="23" t="s">
        <v>51</v>
      </c>
      <c r="C25" s="4"/>
      <c r="D25" s="4"/>
      <c r="E25" s="5"/>
      <c r="F25" s="5"/>
      <c r="G25" s="5"/>
      <c r="H25" s="5"/>
      <c r="I25" s="5"/>
      <c r="J25" s="5"/>
      <c r="K25" s="2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22">
        <f t="shared" si="1"/>
        <v>0</v>
      </c>
      <c r="AH25" s="29">
        <f t="shared" si="5"/>
        <v>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ht="15.75" customHeight="1">
      <c r="A26" s="19" t="s">
        <v>52</v>
      </c>
      <c r="B26" s="23" t="s">
        <v>53</v>
      </c>
      <c r="C26" s="4"/>
      <c r="D26" s="4"/>
      <c r="E26" s="5"/>
      <c r="F26" s="5"/>
      <c r="G26" s="5"/>
      <c r="H26" s="5"/>
      <c r="I26" s="5"/>
      <c r="J26" s="5"/>
      <c r="K26" s="2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22">
        <f t="shared" si="1"/>
        <v>0</v>
      </c>
      <c r="AH26" s="29">
        <f t="shared" si="5"/>
        <v>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ht="15.75" customHeight="1">
      <c r="A27" s="19" t="s">
        <v>54</v>
      </c>
      <c r="B27" s="23" t="s">
        <v>55</v>
      </c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22">
        <f t="shared" si="1"/>
        <v>0</v>
      </c>
      <c r="AH27" s="29">
        <f t="shared" si="5"/>
        <v>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ht="15.75" customHeight="1">
      <c r="A28" s="19" t="s">
        <v>56</v>
      </c>
      <c r="B28" s="23" t="s">
        <v>57</v>
      </c>
      <c r="C28" s="4"/>
      <c r="D28" s="4"/>
      <c r="E28" s="5"/>
      <c r="F28" s="5"/>
      <c r="G28" s="21">
        <v>20.0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22">
        <f t="shared" si="1"/>
        <v>20</v>
      </c>
      <c r="AH28" s="29">
        <f t="shared" si="5"/>
        <v>1270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ht="15.75" customHeight="1">
      <c r="A29" s="19" t="s">
        <v>58</v>
      </c>
      <c r="B29" s="23" t="s">
        <v>59</v>
      </c>
      <c r="C29" s="4"/>
      <c r="D29" s="4"/>
      <c r="E29" s="5"/>
      <c r="F29" s="5"/>
      <c r="G29" s="5"/>
      <c r="H29" s="5"/>
      <c r="I29" s="5"/>
      <c r="J29" s="2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22">
        <f t="shared" si="1"/>
        <v>0</v>
      </c>
      <c r="AH29" s="29">
        <f t="shared" si="5"/>
        <v>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ht="15.75" customHeight="1">
      <c r="A30" s="19" t="s">
        <v>60</v>
      </c>
      <c r="B30" s="42" t="s">
        <v>193</v>
      </c>
      <c r="C30" s="24"/>
      <c r="D30" s="24">
        <v>12.0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22">
        <f t="shared" si="1"/>
        <v>12</v>
      </c>
      <c r="AH30" s="29">
        <f t="shared" si="5"/>
        <v>762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ht="15.75" customHeight="1">
      <c r="A31" s="19" t="s">
        <v>62</v>
      </c>
      <c r="B31" s="23" t="s">
        <v>63</v>
      </c>
      <c r="C31" s="24"/>
      <c r="D31" s="24">
        <v>12.0</v>
      </c>
      <c r="E31" s="5"/>
      <c r="F31" s="5"/>
      <c r="G31" s="5"/>
      <c r="H31" s="2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2">
        <f t="shared" si="1"/>
        <v>12</v>
      </c>
      <c r="AH31" s="29">
        <f>AG31 *61.82</f>
        <v>741.84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ht="15.75" customHeight="1">
      <c r="A32" s="19" t="s">
        <v>64</v>
      </c>
      <c r="B32" s="23" t="s">
        <v>65</v>
      </c>
      <c r="C32" s="4"/>
      <c r="D32" s="24">
        <v>12.0</v>
      </c>
      <c r="E32" s="5"/>
      <c r="F32" s="5"/>
      <c r="G32" s="5"/>
      <c r="H32" s="2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22">
        <f t="shared" si="1"/>
        <v>12</v>
      </c>
      <c r="AH32" s="29">
        <f t="shared" ref="AH32:AH33" si="6">AG32 *63.5</f>
        <v>762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ht="15.75" customHeight="1">
      <c r="A33" s="19" t="s">
        <v>66</v>
      </c>
      <c r="B33" s="23" t="s">
        <v>67</v>
      </c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22">
        <f t="shared" si="1"/>
        <v>0</v>
      </c>
      <c r="AH33" s="29">
        <f t="shared" si="6"/>
        <v>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ht="15.75" customHeight="1">
      <c r="A34" s="19" t="s">
        <v>68</v>
      </c>
      <c r="B34" s="23" t="s">
        <v>69</v>
      </c>
      <c r="C34" s="4"/>
      <c r="D34" s="4"/>
      <c r="E34" s="5"/>
      <c r="F34" s="21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22">
        <f t="shared" si="1"/>
        <v>0</v>
      </c>
      <c r="AH34" s="29">
        <f>AG34 *75.6</f>
        <v>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ht="15.75" customHeight="1">
      <c r="A35" s="19" t="s">
        <v>70</v>
      </c>
      <c r="B35" s="23" t="s">
        <v>71</v>
      </c>
      <c r="C35" s="4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22">
        <f t="shared" si="1"/>
        <v>0</v>
      </c>
      <c r="AH35" s="29">
        <f t="shared" ref="AH35:AH38" si="7">AG35 *63.5</f>
        <v>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ht="15.75" customHeight="1">
      <c r="A36" s="19" t="s">
        <v>72</v>
      </c>
      <c r="B36" s="23" t="s">
        <v>73</v>
      </c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22">
        <f t="shared" si="1"/>
        <v>0</v>
      </c>
      <c r="AH36" s="29">
        <f t="shared" si="7"/>
        <v>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ht="15.75" customHeight="1">
      <c r="A37" s="19" t="s">
        <v>74</v>
      </c>
      <c r="B37" s="23" t="s">
        <v>75</v>
      </c>
      <c r="C37" s="4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22">
        <f t="shared" si="1"/>
        <v>0</v>
      </c>
      <c r="AH37" s="29">
        <f t="shared" si="7"/>
        <v>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ht="15.75" customHeight="1">
      <c r="A38" s="19" t="s">
        <v>76</v>
      </c>
      <c r="B38" s="23" t="s">
        <v>77</v>
      </c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22">
        <f t="shared" si="1"/>
        <v>0</v>
      </c>
      <c r="AH38" s="29">
        <f t="shared" si="7"/>
        <v>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ht="15.75" customHeight="1">
      <c r="A39" s="19" t="s">
        <v>78</v>
      </c>
      <c r="B39" s="23" t="s">
        <v>79</v>
      </c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22">
        <f t="shared" si="1"/>
        <v>0</v>
      </c>
      <c r="AH39" s="29">
        <f>AG39 *580.5</f>
        <v>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ht="15.75" customHeight="1">
      <c r="A40" s="19" t="s">
        <v>80</v>
      </c>
      <c r="B40" s="23" t="s">
        <v>81</v>
      </c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22">
        <f t="shared" si="1"/>
        <v>0</v>
      </c>
      <c r="AH40" s="29">
        <f t="shared" ref="AH40:AH49" si="8">AG40 *63.5</f>
        <v>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ht="15.75" customHeight="1">
      <c r="A41" s="19" t="s">
        <v>82</v>
      </c>
      <c r="B41" s="23" t="s">
        <v>83</v>
      </c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22">
        <f t="shared" si="1"/>
        <v>0</v>
      </c>
      <c r="AH41" s="29">
        <f t="shared" si="8"/>
        <v>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ht="15.75" customHeight="1">
      <c r="A42" s="19" t="s">
        <v>84</v>
      </c>
      <c r="B42" s="23" t="s">
        <v>85</v>
      </c>
      <c r="C42" s="4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22">
        <f t="shared" si="1"/>
        <v>0</v>
      </c>
      <c r="AH42" s="29">
        <f t="shared" si="8"/>
        <v>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ht="15.75" customHeight="1">
      <c r="A43" s="19" t="s">
        <v>86</v>
      </c>
      <c r="B43" s="23" t="s">
        <v>87</v>
      </c>
      <c r="C43" s="4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22">
        <f t="shared" si="1"/>
        <v>0</v>
      </c>
      <c r="AH43" s="29">
        <f t="shared" si="8"/>
        <v>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ht="15.75" customHeight="1">
      <c r="A44" s="19" t="s">
        <v>88</v>
      </c>
      <c r="B44" s="23" t="s">
        <v>89</v>
      </c>
      <c r="C44" s="4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22">
        <f t="shared" si="1"/>
        <v>0</v>
      </c>
      <c r="AH44" s="29">
        <f t="shared" si="8"/>
        <v>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ht="15.75" customHeight="1">
      <c r="A45" s="19" t="s">
        <v>90</v>
      </c>
      <c r="B45" s="23" t="s">
        <v>91</v>
      </c>
      <c r="C45" s="4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22">
        <f t="shared" si="1"/>
        <v>0</v>
      </c>
      <c r="AH45" s="29">
        <f t="shared" si="8"/>
        <v>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ht="15.75" customHeight="1">
      <c r="A46" s="19" t="s">
        <v>92</v>
      </c>
      <c r="B46" s="23" t="s">
        <v>93</v>
      </c>
      <c r="C46" s="4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22">
        <f t="shared" si="1"/>
        <v>0</v>
      </c>
      <c r="AH46" s="29">
        <f t="shared" si="8"/>
        <v>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ht="15.75" customHeight="1">
      <c r="A47" s="19" t="s">
        <v>94</v>
      </c>
      <c r="B47" s="23" t="s">
        <v>95</v>
      </c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22">
        <f t="shared" si="1"/>
        <v>0</v>
      </c>
      <c r="AH47" s="29">
        <f t="shared" si="8"/>
        <v>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ht="15.75" customHeight="1">
      <c r="A48" s="19" t="s">
        <v>96</v>
      </c>
      <c r="B48" s="23" t="s">
        <v>97</v>
      </c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22">
        <f t="shared" si="1"/>
        <v>0</v>
      </c>
      <c r="AH48" s="29">
        <f t="shared" si="8"/>
        <v>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ht="15.75" customHeight="1">
      <c r="A49" s="19" t="s">
        <v>98</v>
      </c>
      <c r="B49" s="23" t="s">
        <v>99</v>
      </c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22">
        <f t="shared" si="1"/>
        <v>0</v>
      </c>
      <c r="AH49" s="29">
        <f t="shared" si="8"/>
        <v>0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ht="15.75" customHeight="1">
      <c r="A50" s="19" t="s">
        <v>100</v>
      </c>
      <c r="B50" s="23" t="s">
        <v>101</v>
      </c>
      <c r="C50" s="4"/>
      <c r="D50" s="4"/>
      <c r="E50" s="5"/>
      <c r="F50" s="5"/>
      <c r="G50" s="5"/>
      <c r="H50" s="5"/>
      <c r="I50" s="5"/>
      <c r="J50" s="2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22">
        <f t="shared" si="1"/>
        <v>0</v>
      </c>
      <c r="AH50" s="29">
        <f>AG50 *171.18</f>
        <v>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ht="15.75" customHeight="1">
      <c r="A51" s="19" t="s">
        <v>102</v>
      </c>
      <c r="B51" s="42" t="s">
        <v>194</v>
      </c>
      <c r="C51" s="4"/>
      <c r="D51" s="4"/>
      <c r="E51" s="5"/>
      <c r="F51" s="5"/>
      <c r="G51" s="5"/>
      <c r="H51" s="5"/>
      <c r="I51" s="21">
        <v>300.0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22">
        <f t="shared" si="1"/>
        <v>300</v>
      </c>
      <c r="AH51" s="29">
        <f>AG51 *788.4</f>
        <v>236520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ht="15.75" customHeight="1">
      <c r="A52" s="19" t="s">
        <v>104</v>
      </c>
      <c r="B52" s="23" t="s">
        <v>105</v>
      </c>
      <c r="C52" s="4"/>
      <c r="D52" s="4"/>
      <c r="E52" s="5"/>
      <c r="F52" s="5"/>
      <c r="G52" s="21"/>
      <c r="H52" s="5"/>
      <c r="I52" s="2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22">
        <f t="shared" si="1"/>
        <v>0</v>
      </c>
      <c r="AH52" s="29">
        <f t="shared" ref="AH52:AH53" si="9">AG52 *63.5</f>
        <v>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ht="15.75" customHeight="1">
      <c r="A53" s="19" t="s">
        <v>106</v>
      </c>
      <c r="B53" s="23" t="s">
        <v>107</v>
      </c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22">
        <f t="shared" si="1"/>
        <v>0</v>
      </c>
      <c r="AH53" s="29">
        <f t="shared" si="9"/>
        <v>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ht="15.75" customHeight="1">
      <c r="A54" s="19" t="s">
        <v>108</v>
      </c>
      <c r="B54" s="23" t="s">
        <v>109</v>
      </c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22">
        <f t="shared" si="1"/>
        <v>0</v>
      </c>
      <c r="AH54" s="29">
        <f>AG54 *22.88</f>
        <v>0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ht="15.75" customHeight="1">
      <c r="A55" s="19" t="s">
        <v>110</v>
      </c>
      <c r="B55" s="42" t="s">
        <v>195</v>
      </c>
      <c r="C55" s="4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22">
        <f t="shared" si="1"/>
        <v>0</v>
      </c>
      <c r="AH55" s="29">
        <f t="shared" ref="AH55:AH57" si="10">AG55 *63.5</f>
        <v>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ht="15.75" customHeight="1">
      <c r="A56" s="19" t="s">
        <v>112</v>
      </c>
      <c r="B56" s="23" t="s">
        <v>113</v>
      </c>
      <c r="C56" s="4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22">
        <f t="shared" si="1"/>
        <v>0</v>
      </c>
      <c r="AH56" s="29">
        <f t="shared" si="10"/>
        <v>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ht="15.75" customHeight="1">
      <c r="A57" s="19" t="s">
        <v>114</v>
      </c>
      <c r="B57" s="23" t="s">
        <v>115</v>
      </c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22">
        <f t="shared" si="1"/>
        <v>0</v>
      </c>
      <c r="AH57" s="29">
        <f t="shared" si="10"/>
        <v>0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ht="15.75" customHeight="1">
      <c r="A58" s="19" t="s">
        <v>116</v>
      </c>
      <c r="B58" s="23" t="s">
        <v>117</v>
      </c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22">
        <f t="shared" si="1"/>
        <v>0</v>
      </c>
      <c r="AH58" s="29">
        <f>AG58 *11.9</f>
        <v>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ht="15.75" customHeight="1">
      <c r="A59" s="19" t="s">
        <v>118</v>
      </c>
      <c r="B59" s="23" t="s">
        <v>119</v>
      </c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22">
        <f t="shared" si="1"/>
        <v>0</v>
      </c>
      <c r="AH59" s="29">
        <f t="shared" ref="AH59:AH60" si="11">AG59 *63.5</f>
        <v>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ht="15.75" customHeight="1">
      <c r="A60" s="19" t="s">
        <v>120</v>
      </c>
      <c r="B60" s="23" t="s">
        <v>121</v>
      </c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22">
        <f t="shared" si="1"/>
        <v>0</v>
      </c>
      <c r="AH60" s="29">
        <f t="shared" si="11"/>
        <v>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ht="15.75" customHeight="1">
      <c r="A61" s="19" t="s">
        <v>122</v>
      </c>
      <c r="B61" s="23" t="s">
        <v>123</v>
      </c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22">
        <f t="shared" si="1"/>
        <v>0</v>
      </c>
      <c r="AH61" s="29">
        <f>AG61 *77.97</f>
        <v>0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ht="15.75" customHeight="1">
      <c r="A62" s="19" t="s">
        <v>124</v>
      </c>
      <c r="B62" s="23" t="s">
        <v>125</v>
      </c>
      <c r="C62" s="4"/>
      <c r="D62" s="4"/>
      <c r="E62" s="5"/>
      <c r="F62" s="21">
        <v>120.0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22">
        <f t="shared" si="1"/>
        <v>120</v>
      </c>
      <c r="AH62" s="29">
        <f>AG62 *63.5</f>
        <v>7620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ht="15.75" customHeight="1">
      <c r="A63" s="19" t="s">
        <v>126</v>
      </c>
      <c r="B63" s="23" t="s">
        <v>127</v>
      </c>
      <c r="C63" s="4"/>
      <c r="D63" s="4"/>
      <c r="E63" s="5"/>
      <c r="F63" s="21">
        <v>270.0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22">
        <f t="shared" si="1"/>
        <v>270</v>
      </c>
      <c r="AH63" s="29">
        <f>AG63 *313.2</f>
        <v>84564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ht="15.75" customHeight="1">
      <c r="A64" s="19" t="s">
        <v>128</v>
      </c>
      <c r="B64" s="23" t="s">
        <v>129</v>
      </c>
      <c r="C64" s="24"/>
      <c r="D64" s="24">
        <v>30.0</v>
      </c>
      <c r="E64" s="5"/>
      <c r="F64" s="21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22">
        <f t="shared" si="1"/>
        <v>30</v>
      </c>
      <c r="AH64" s="29">
        <f t="shared" ref="AH64:AH68" si="12">AG64 *63.5</f>
        <v>1905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ht="15.75" customHeight="1">
      <c r="A65" s="19" t="s">
        <v>130</v>
      </c>
      <c r="B65" s="23" t="s">
        <v>131</v>
      </c>
      <c r="C65" s="4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22">
        <f t="shared" si="1"/>
        <v>0</v>
      </c>
      <c r="AH65" s="29">
        <f t="shared" si="12"/>
        <v>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ht="15.75" customHeight="1">
      <c r="A66" s="19" t="s">
        <v>132</v>
      </c>
      <c r="B66" s="23" t="s">
        <v>133</v>
      </c>
      <c r="C66" s="4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22">
        <f t="shared" si="1"/>
        <v>0</v>
      </c>
      <c r="AH66" s="29">
        <f t="shared" si="12"/>
        <v>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ht="15.75" customHeight="1">
      <c r="A67" s="19" t="s">
        <v>134</v>
      </c>
      <c r="B67" s="23" t="s">
        <v>135</v>
      </c>
      <c r="C67" s="4"/>
      <c r="D67" s="4"/>
      <c r="E67" s="5"/>
      <c r="F67" s="5"/>
      <c r="G67" s="5"/>
      <c r="H67" s="21"/>
      <c r="I67" s="2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22">
        <f t="shared" si="1"/>
        <v>0</v>
      </c>
      <c r="AH67" s="29">
        <f t="shared" si="12"/>
        <v>0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ht="15.75" customHeight="1">
      <c r="A68" s="19" t="s">
        <v>136</v>
      </c>
      <c r="B68" s="23" t="s">
        <v>137</v>
      </c>
      <c r="C68" s="4"/>
      <c r="D68" s="4"/>
      <c r="E68" s="5"/>
      <c r="F68" s="5"/>
      <c r="G68" s="5"/>
      <c r="H68" s="5"/>
      <c r="I68" s="21"/>
      <c r="J68" s="5"/>
      <c r="K68" s="2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22">
        <f t="shared" si="1"/>
        <v>0</v>
      </c>
      <c r="AH68" s="29">
        <f t="shared" si="12"/>
        <v>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ht="15.75" customHeight="1">
      <c r="A69" s="19" t="s">
        <v>138</v>
      </c>
      <c r="B69" s="23" t="s">
        <v>139</v>
      </c>
      <c r="C69" s="4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22">
        <f t="shared" si="1"/>
        <v>0</v>
      </c>
      <c r="AH69" s="29">
        <f>AG69 *271.19</f>
        <v>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ht="15.75" customHeight="1">
      <c r="A70" s="19" t="s">
        <v>140</v>
      </c>
      <c r="B70" s="23" t="s">
        <v>141</v>
      </c>
      <c r="C70" s="4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22">
        <f t="shared" si="1"/>
        <v>0</v>
      </c>
      <c r="AH70" s="29">
        <f t="shared" ref="AH70:AH78" si="13">AG70 *63.5</f>
        <v>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ht="15.75" customHeight="1">
      <c r="A71" s="19" t="s">
        <v>142</v>
      </c>
      <c r="B71" s="25" t="s">
        <v>143</v>
      </c>
      <c r="C71" s="4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22">
        <f t="shared" si="1"/>
        <v>0</v>
      </c>
      <c r="AH71" s="29">
        <f t="shared" si="13"/>
        <v>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ht="15.75" customHeight="1">
      <c r="A72" s="19" t="s">
        <v>144</v>
      </c>
      <c r="B72" s="23" t="s">
        <v>145</v>
      </c>
      <c r="C72" s="4"/>
      <c r="D72" s="4"/>
      <c r="E72" s="5"/>
      <c r="F72" s="5"/>
      <c r="G72" s="5"/>
      <c r="H72" s="5"/>
      <c r="I72" s="2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22">
        <f t="shared" si="1"/>
        <v>0</v>
      </c>
      <c r="AH72" s="29">
        <f t="shared" si="13"/>
        <v>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ht="15.75" customHeight="1">
      <c r="A73" s="19" t="s">
        <v>146</v>
      </c>
      <c r="B73" s="23" t="s">
        <v>147</v>
      </c>
      <c r="C73" s="4"/>
      <c r="D73" s="4"/>
      <c r="E73" s="5"/>
      <c r="F73" s="5"/>
      <c r="G73" s="5"/>
      <c r="H73" s="5"/>
      <c r="I73" s="2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22">
        <f t="shared" si="1"/>
        <v>0</v>
      </c>
      <c r="AH73" s="29">
        <f t="shared" si="13"/>
        <v>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ht="15.75" customHeight="1">
      <c r="A74" s="19" t="s">
        <v>148</v>
      </c>
      <c r="B74" s="23" t="s">
        <v>149</v>
      </c>
      <c r="C74" s="4"/>
      <c r="D74" s="4"/>
      <c r="E74" s="5"/>
      <c r="F74" s="5"/>
      <c r="G74" s="5"/>
      <c r="H74" s="5"/>
      <c r="I74" s="2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22">
        <f t="shared" si="1"/>
        <v>0</v>
      </c>
      <c r="AH74" s="29">
        <f t="shared" si="13"/>
        <v>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ht="15.75" customHeight="1">
      <c r="A75" s="19" t="s">
        <v>150</v>
      </c>
      <c r="B75" s="23" t="s">
        <v>151</v>
      </c>
      <c r="C75" s="4"/>
      <c r="D75" s="4"/>
      <c r="E75" s="5"/>
      <c r="F75" s="5"/>
      <c r="G75" s="5"/>
      <c r="H75" s="5"/>
      <c r="I75" s="2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22">
        <f t="shared" si="1"/>
        <v>0</v>
      </c>
      <c r="AH75" s="29">
        <f t="shared" si="13"/>
        <v>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ht="15.75" customHeight="1">
      <c r="A76" s="19" t="s">
        <v>152</v>
      </c>
      <c r="B76" s="23" t="s">
        <v>153</v>
      </c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22">
        <f t="shared" si="1"/>
        <v>0</v>
      </c>
      <c r="AH76" s="29">
        <f t="shared" si="13"/>
        <v>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ht="15.75" customHeight="1">
      <c r="A77" s="19" t="s">
        <v>154</v>
      </c>
      <c r="B77" s="23" t="s">
        <v>155</v>
      </c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22">
        <f t="shared" si="1"/>
        <v>0</v>
      </c>
      <c r="AH77" s="29">
        <f t="shared" si="13"/>
        <v>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ht="15.75" customHeight="1">
      <c r="A78" s="19" t="s">
        <v>156</v>
      </c>
      <c r="B78" s="23" t="s">
        <v>157</v>
      </c>
      <c r="C78" s="4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22">
        <f t="shared" si="1"/>
        <v>0</v>
      </c>
      <c r="AH78" s="29">
        <f t="shared" si="13"/>
        <v>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ht="15.75" customHeight="1">
      <c r="A79" s="19" t="s">
        <v>158</v>
      </c>
      <c r="B79" s="23" t="s">
        <v>159</v>
      </c>
      <c r="C79" s="4"/>
      <c r="D79" s="4"/>
      <c r="E79" s="5"/>
      <c r="F79" s="5"/>
      <c r="G79" s="5"/>
      <c r="H79" s="5"/>
      <c r="I79" s="2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22">
        <f t="shared" si="1"/>
        <v>0</v>
      </c>
      <c r="AH79" s="29">
        <f>AG79 *50.85</f>
        <v>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ht="15.75" customHeight="1">
      <c r="A80" s="19" t="s">
        <v>160</v>
      </c>
      <c r="B80" s="23" t="s">
        <v>161</v>
      </c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22">
        <f t="shared" si="1"/>
        <v>0</v>
      </c>
      <c r="AH80" s="29">
        <f t="shared" ref="AH80:AH83" si="14">AG80 *63.5</f>
        <v>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ht="15.75" customHeight="1">
      <c r="A81" s="19" t="s">
        <v>162</v>
      </c>
      <c r="B81" s="23" t="s">
        <v>163</v>
      </c>
      <c r="C81" s="4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22">
        <f t="shared" si="1"/>
        <v>0</v>
      </c>
      <c r="AH81" s="29">
        <f t="shared" si="14"/>
        <v>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ht="15.75" customHeight="1">
      <c r="A82" s="19" t="s">
        <v>164</v>
      </c>
      <c r="B82" s="23" t="s">
        <v>165</v>
      </c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22">
        <f t="shared" si="1"/>
        <v>0</v>
      </c>
      <c r="AH82" s="29">
        <f t="shared" si="14"/>
        <v>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ht="15.75" customHeight="1">
      <c r="A83" s="19" t="s">
        <v>166</v>
      </c>
      <c r="B83" s="23" t="s">
        <v>167</v>
      </c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22">
        <f t="shared" si="1"/>
        <v>0</v>
      </c>
      <c r="AH83" s="29">
        <f t="shared" si="14"/>
        <v>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ht="15.75" customHeight="1">
      <c r="A84" s="19" t="s">
        <v>168</v>
      </c>
      <c r="B84" s="23" t="s">
        <v>169</v>
      </c>
      <c r="C84" s="4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22">
        <f t="shared" si="1"/>
        <v>0</v>
      </c>
      <c r="AH84" s="29">
        <f>AG84 *61.82</f>
        <v>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ht="15.75" customHeight="1">
      <c r="A85" s="19" t="s">
        <v>170</v>
      </c>
      <c r="B85" s="23" t="s">
        <v>171</v>
      </c>
      <c r="C85" s="4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22">
        <f t="shared" si="1"/>
        <v>0</v>
      </c>
      <c r="AH85" s="29">
        <f t="shared" ref="AH85:AH92" si="15">AG85 *63.5</f>
        <v>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ht="15.75" customHeight="1">
      <c r="A86" s="19" t="s">
        <v>172</v>
      </c>
      <c r="B86" s="23" t="s">
        <v>173</v>
      </c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22">
        <f t="shared" si="1"/>
        <v>0</v>
      </c>
      <c r="AH86" s="29">
        <f t="shared" si="15"/>
        <v>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ht="15.75" customHeight="1">
      <c r="A87" s="19" t="s">
        <v>174</v>
      </c>
      <c r="B87" s="23" t="s">
        <v>175</v>
      </c>
      <c r="C87" s="4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22">
        <f t="shared" si="1"/>
        <v>0</v>
      </c>
      <c r="AH87" s="29">
        <f t="shared" si="15"/>
        <v>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ht="15.75" customHeight="1">
      <c r="A88" s="19" t="s">
        <v>176</v>
      </c>
      <c r="B88" s="23" t="s">
        <v>177</v>
      </c>
      <c r="C88" s="4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22">
        <f t="shared" si="1"/>
        <v>0</v>
      </c>
      <c r="AH88" s="29">
        <f t="shared" si="15"/>
        <v>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ht="15.75" customHeight="1">
      <c r="A89" s="19" t="s">
        <v>178</v>
      </c>
      <c r="B89" s="23" t="s">
        <v>179</v>
      </c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22">
        <f t="shared" si="1"/>
        <v>0</v>
      </c>
      <c r="AH89" s="29">
        <f t="shared" si="15"/>
        <v>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ht="15.75" customHeight="1">
      <c r="A90" s="19" t="s">
        <v>180</v>
      </c>
      <c r="B90" s="23" t="s">
        <v>181</v>
      </c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22">
        <f t="shared" si="1"/>
        <v>0</v>
      </c>
      <c r="AH90" s="29">
        <f t="shared" si="15"/>
        <v>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ht="15.75" customHeight="1">
      <c r="A91" s="19" t="s">
        <v>182</v>
      </c>
      <c r="B91" s="23" t="s">
        <v>183</v>
      </c>
      <c r="C91" s="4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22">
        <f t="shared" si="1"/>
        <v>0</v>
      </c>
      <c r="AH91" s="29">
        <f t="shared" si="15"/>
        <v>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ht="15.75" customHeight="1">
      <c r="A92" s="19" t="s">
        <v>184</v>
      </c>
      <c r="B92" s="23" t="s">
        <v>185</v>
      </c>
      <c r="C92" s="4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22">
        <f t="shared" si="1"/>
        <v>0</v>
      </c>
      <c r="AH92" s="29">
        <f t="shared" si="15"/>
        <v>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ht="15.75" customHeight="1">
      <c r="A93" s="19" t="s">
        <v>186</v>
      </c>
      <c r="B93" s="23" t="s">
        <v>187</v>
      </c>
      <c r="C93" s="24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21"/>
      <c r="AG93" s="22">
        <f t="shared" si="1"/>
        <v>0</v>
      </c>
      <c r="AH93" s="29">
        <f>AG93 *42.37</f>
        <v>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ht="15.75" customHeight="1">
      <c r="A94" s="28"/>
      <c r="B94" s="25" t="s">
        <v>9</v>
      </c>
      <c r="C94" s="24">
        <f t="shared" ref="C94:AI94" si="16">SUM(C5:C93)</f>
        <v>24</v>
      </c>
      <c r="D94" s="24">
        <f t="shared" si="16"/>
        <v>66</v>
      </c>
      <c r="E94" s="24">
        <f t="shared" si="16"/>
        <v>12</v>
      </c>
      <c r="F94" s="24">
        <f t="shared" si="16"/>
        <v>390</v>
      </c>
      <c r="G94" s="24">
        <f t="shared" si="16"/>
        <v>20</v>
      </c>
      <c r="H94" s="24">
        <f t="shared" si="16"/>
        <v>168</v>
      </c>
      <c r="I94" s="24">
        <f t="shared" si="16"/>
        <v>320</v>
      </c>
      <c r="J94" s="24">
        <f t="shared" si="16"/>
        <v>0</v>
      </c>
      <c r="K94" s="24">
        <f t="shared" si="16"/>
        <v>0</v>
      </c>
      <c r="L94" s="24">
        <f t="shared" si="16"/>
        <v>0</v>
      </c>
      <c r="M94" s="24">
        <f t="shared" si="16"/>
        <v>0</v>
      </c>
      <c r="N94" s="24">
        <f t="shared" si="16"/>
        <v>0</v>
      </c>
      <c r="O94" s="24">
        <f t="shared" si="16"/>
        <v>0</v>
      </c>
      <c r="P94" s="24">
        <f t="shared" si="16"/>
        <v>0</v>
      </c>
      <c r="Q94" s="24">
        <f t="shared" si="16"/>
        <v>0</v>
      </c>
      <c r="R94" s="24">
        <f t="shared" si="16"/>
        <v>0</v>
      </c>
      <c r="S94" s="24">
        <f t="shared" si="16"/>
        <v>0</v>
      </c>
      <c r="T94" s="24">
        <f t="shared" si="16"/>
        <v>0</v>
      </c>
      <c r="U94" s="24">
        <f t="shared" si="16"/>
        <v>0</v>
      </c>
      <c r="V94" s="24">
        <f t="shared" si="16"/>
        <v>0</v>
      </c>
      <c r="W94" s="24">
        <f t="shared" si="16"/>
        <v>0</v>
      </c>
      <c r="X94" s="24">
        <f t="shared" si="16"/>
        <v>0</v>
      </c>
      <c r="Y94" s="24">
        <f t="shared" si="16"/>
        <v>0</v>
      </c>
      <c r="Z94" s="24">
        <f t="shared" si="16"/>
        <v>0</v>
      </c>
      <c r="AA94" s="24">
        <f t="shared" si="16"/>
        <v>0</v>
      </c>
      <c r="AB94" s="24">
        <f t="shared" si="16"/>
        <v>0</v>
      </c>
      <c r="AC94" s="24">
        <f t="shared" si="16"/>
        <v>0</v>
      </c>
      <c r="AD94" s="24">
        <f t="shared" si="16"/>
        <v>0</v>
      </c>
      <c r="AE94" s="24">
        <f t="shared" si="16"/>
        <v>0</v>
      </c>
      <c r="AF94" s="24">
        <f t="shared" si="16"/>
        <v>0</v>
      </c>
      <c r="AG94" s="43">
        <f t="shared" si="16"/>
        <v>1000</v>
      </c>
      <c r="AH94" s="44">
        <f t="shared" si="16"/>
        <v>340394.48</v>
      </c>
      <c r="AI94" s="24">
        <f t="shared" si="16"/>
        <v>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ht="15.75" customHeight="1">
      <c r="A95" s="28"/>
      <c r="B95" s="23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4"/>
      <c r="AH95" s="29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ht="15.75" customHeight="1">
      <c r="A96" s="28"/>
      <c r="B96" s="23"/>
      <c r="C96" s="4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4"/>
      <c r="AH96" s="29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ht="15.75" customHeight="1">
      <c r="A97" s="28"/>
      <c r="B97" s="23"/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4"/>
      <c r="AH97" s="29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ht="15.75" customHeight="1">
      <c r="A98" s="28"/>
      <c r="B98" s="23"/>
      <c r="C98" s="4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4"/>
      <c r="AH98" s="29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ht="15.75" customHeight="1">
      <c r="A99" s="28"/>
      <c r="B99" s="23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4"/>
      <c r="AH99" s="29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ht="15.75" customHeight="1">
      <c r="A100" s="28"/>
      <c r="B100" s="23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4"/>
      <c r="AH100" s="29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ht="15.75" customHeight="1">
      <c r="A101" s="28"/>
      <c r="B101" s="23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4"/>
      <c r="AH101" s="29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ht="15.75" customHeight="1">
      <c r="A102" s="28"/>
      <c r="B102" s="23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4"/>
      <c r="AH102" s="29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ht="15.75" customHeight="1">
      <c r="A103" s="28"/>
      <c r="B103" s="23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4"/>
      <c r="AH103" s="29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ht="15.75" customHeight="1">
      <c r="A104" s="28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4"/>
      <c r="AH104" s="29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ht="15.75" customHeight="1">
      <c r="A105" s="28"/>
      <c r="B105" s="5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4"/>
      <c r="AH105" s="29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ht="15.75" customHeight="1">
      <c r="A106" s="28"/>
      <c r="B106" s="5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4"/>
      <c r="AH106" s="29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ht="15.75" customHeight="1">
      <c r="A107" s="28"/>
      <c r="B107" s="5"/>
      <c r="C107" s="4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4"/>
      <c r="AH107" s="29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ht="15.75" customHeight="1">
      <c r="A108" s="28"/>
      <c r="B108" s="5"/>
      <c r="C108" s="4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4"/>
      <c r="AH108" s="29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ht="15.75" customHeight="1">
      <c r="A109" s="28"/>
      <c r="B109" s="5"/>
      <c r="C109" s="4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4"/>
      <c r="AH109" s="29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ht="15.75" customHeight="1">
      <c r="A110" s="28"/>
      <c r="B110" s="5"/>
      <c r="C110" s="4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4"/>
      <c r="AH110" s="29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ht="15.75" customHeight="1">
      <c r="A111" s="28"/>
      <c r="B111" s="5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4"/>
      <c r="AH111" s="29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ht="15.75" customHeight="1">
      <c r="A112" s="28"/>
      <c r="B112" s="5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4"/>
      <c r="AH112" s="29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ht="15.75" customHeight="1">
      <c r="A113" s="28"/>
      <c r="B113" s="5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4"/>
      <c r="AH113" s="29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ht="15.75" customHeight="1">
      <c r="A114" s="28"/>
      <c r="B114" s="5"/>
      <c r="C114" s="4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4"/>
      <c r="AH114" s="29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ht="15.75" customHeight="1">
      <c r="A115" s="28"/>
      <c r="B115" s="5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4"/>
      <c r="AH115" s="29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ht="15.75" customHeight="1">
      <c r="A116" s="28"/>
      <c r="B116" s="5"/>
      <c r="C116" s="4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4"/>
      <c r="AH116" s="29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ht="15.75" customHeight="1">
      <c r="A117" s="28"/>
      <c r="B117" s="5"/>
      <c r="C117" s="4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4"/>
      <c r="AH117" s="29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ht="15.75" customHeight="1">
      <c r="A118" s="28"/>
      <c r="B118" s="5"/>
      <c r="C118" s="4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4"/>
      <c r="AH118" s="29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ht="15.75" customHeight="1">
      <c r="A119" s="28"/>
      <c r="B119" s="5"/>
      <c r="C119" s="4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4"/>
      <c r="AH119" s="29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ht="15.75" customHeight="1">
      <c r="A120" s="28"/>
      <c r="B120" s="5"/>
      <c r="C120" s="4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4"/>
      <c r="AH120" s="29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ht="15.75" customHeight="1">
      <c r="A121" s="28"/>
      <c r="B121" s="5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4"/>
      <c r="AH121" s="29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ht="15.75" customHeight="1">
      <c r="A122" s="28"/>
      <c r="B122" s="5"/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4"/>
      <c r="AH122" s="29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ht="15.75" customHeight="1">
      <c r="A123" s="28"/>
      <c r="B123" s="5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4"/>
      <c r="AH123" s="29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ht="15.75" customHeight="1">
      <c r="A124" s="28"/>
      <c r="B124" s="5"/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4"/>
      <c r="AH124" s="29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ht="15.75" customHeight="1">
      <c r="A125" s="28"/>
      <c r="B125" s="5"/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4"/>
      <c r="AH125" s="29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ht="15.75" customHeight="1">
      <c r="A126" s="28"/>
      <c r="B126" s="5"/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4"/>
      <c r="AH126" s="29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ht="15.75" customHeight="1">
      <c r="A127" s="28"/>
      <c r="B127" s="5"/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4"/>
      <c r="AH127" s="29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ht="15.75" customHeight="1">
      <c r="A128" s="28"/>
      <c r="B128" s="5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4"/>
      <c r="AH128" s="29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ht="15.75" customHeight="1">
      <c r="A129" s="28"/>
      <c r="B129" s="5"/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4"/>
      <c r="AH129" s="29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ht="15.75" customHeight="1">
      <c r="A130" s="28"/>
      <c r="B130" s="5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4"/>
      <c r="AH130" s="29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ht="15.75" customHeight="1">
      <c r="A131" s="28"/>
      <c r="B131" s="5"/>
      <c r="C131" s="4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4"/>
      <c r="AH131" s="29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ht="15.75" customHeight="1">
      <c r="A132" s="28"/>
      <c r="B132" s="5"/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4"/>
      <c r="AH132" s="29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ht="15.75" customHeight="1">
      <c r="A133" s="28"/>
      <c r="B133" s="5"/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4"/>
      <c r="AH133" s="29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ht="15.75" customHeight="1">
      <c r="A134" s="28"/>
      <c r="B134" s="5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4"/>
      <c r="AH134" s="29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ht="15.75" customHeight="1">
      <c r="A135" s="28"/>
      <c r="B135" s="5"/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4"/>
      <c r="AH135" s="29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ht="15.75" customHeight="1">
      <c r="A136" s="28"/>
      <c r="B136" s="5"/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4"/>
      <c r="AH136" s="29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ht="15.75" customHeight="1">
      <c r="A137" s="28"/>
      <c r="B137" s="5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4"/>
      <c r="AH137" s="29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ht="15.75" customHeight="1">
      <c r="A138" s="28"/>
      <c r="B138" s="5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4"/>
      <c r="AH138" s="29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ht="15.75" customHeight="1">
      <c r="A139" s="28"/>
      <c r="B139" s="5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4"/>
      <c r="AH139" s="29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ht="15.75" customHeight="1">
      <c r="A140" s="28"/>
      <c r="B140" s="5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4"/>
      <c r="AH140" s="29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ht="15.75" customHeight="1">
      <c r="A141" s="28"/>
      <c r="B141" s="5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4"/>
      <c r="AH141" s="29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ht="15.75" customHeight="1">
      <c r="A142" s="28"/>
      <c r="B142" s="5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4"/>
      <c r="AH142" s="29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ht="15.75" customHeight="1">
      <c r="A143" s="28"/>
      <c r="B143" s="5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4"/>
      <c r="AH143" s="29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ht="15.75" customHeight="1">
      <c r="A144" s="28"/>
      <c r="B144" s="5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4"/>
      <c r="AH144" s="29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ht="15.75" customHeight="1">
      <c r="A145" s="28"/>
      <c r="B145" s="5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4"/>
      <c r="AH145" s="29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ht="15.75" customHeight="1">
      <c r="A146" s="28"/>
      <c r="B146" s="5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4"/>
      <c r="AH146" s="29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ht="15.75" customHeight="1">
      <c r="A147" s="28"/>
      <c r="B147" s="5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4"/>
      <c r="AH147" s="29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ht="15.75" customHeight="1">
      <c r="A148" s="28"/>
      <c r="B148" s="5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4"/>
      <c r="AH148" s="29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ht="15.75" customHeight="1">
      <c r="A149" s="28"/>
      <c r="B149" s="5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4"/>
      <c r="AH149" s="29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ht="15.75" customHeight="1">
      <c r="A150" s="28"/>
      <c r="B150" s="5"/>
      <c r="C150" s="4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4"/>
      <c r="AH150" s="29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ht="15.75" customHeight="1">
      <c r="A151" s="28"/>
      <c r="B151" s="5"/>
      <c r="C151" s="4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4"/>
      <c r="AH151" s="29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ht="15.75" customHeight="1">
      <c r="A152" s="28"/>
      <c r="B152" s="5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4"/>
      <c r="AH152" s="29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ht="15.75" customHeight="1">
      <c r="A153" s="28"/>
      <c r="B153" s="5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4"/>
      <c r="AH153" s="29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ht="15.75" customHeight="1">
      <c r="A154" s="28"/>
      <c r="B154" s="5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4"/>
      <c r="AH154" s="29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ht="15.75" customHeight="1">
      <c r="A155" s="28"/>
      <c r="B155" s="5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4"/>
      <c r="AH155" s="29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ht="15.75" customHeight="1">
      <c r="A156" s="28"/>
      <c r="B156" s="5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4"/>
      <c r="AH156" s="29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ht="15.75" customHeight="1">
      <c r="A157" s="28"/>
      <c r="B157" s="5"/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4"/>
      <c r="AH157" s="29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ht="15.75" customHeight="1">
      <c r="A158" s="28"/>
      <c r="B158" s="5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4"/>
      <c r="AH158" s="29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ht="15.75" customHeight="1">
      <c r="A159" s="28"/>
      <c r="B159" s="5"/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4"/>
      <c r="AH159" s="29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ht="15.75" customHeight="1">
      <c r="A160" s="28"/>
      <c r="B160" s="5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4"/>
      <c r="AH160" s="29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ht="15.75" customHeight="1">
      <c r="A161" s="28"/>
      <c r="B161" s="5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4"/>
      <c r="AH161" s="29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ht="15.75" customHeight="1">
      <c r="A162" s="28"/>
      <c r="B162" s="5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4"/>
      <c r="AH162" s="29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ht="15.75" customHeight="1">
      <c r="A163" s="28"/>
      <c r="B163" s="5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4"/>
      <c r="AH163" s="29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ht="15.75" customHeight="1">
      <c r="A164" s="28"/>
      <c r="B164" s="5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4"/>
      <c r="AH164" s="29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ht="15.75" customHeight="1">
      <c r="A165" s="28"/>
      <c r="B165" s="5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4"/>
      <c r="AH165" s="29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ht="15.75" customHeight="1">
      <c r="A166" s="28"/>
      <c r="B166" s="5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4"/>
      <c r="AH166" s="29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ht="15.75" customHeight="1">
      <c r="A167" s="28"/>
      <c r="B167" s="5"/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4"/>
      <c r="AH167" s="29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ht="15.75" customHeight="1">
      <c r="A168" s="28"/>
      <c r="B168" s="5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4"/>
      <c r="AH168" s="29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ht="15.75" customHeight="1">
      <c r="A169" s="28"/>
      <c r="B169" s="5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4"/>
      <c r="AH169" s="29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ht="15.75" customHeight="1">
      <c r="A170" s="28"/>
      <c r="B170" s="5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4"/>
      <c r="AH170" s="29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ht="15.75" customHeight="1">
      <c r="A171" s="28"/>
      <c r="B171" s="5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4"/>
      <c r="AH171" s="29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ht="15.75" customHeight="1">
      <c r="A172" s="28"/>
      <c r="B172" s="5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4"/>
      <c r="AH172" s="29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ht="15.75" customHeight="1">
      <c r="A173" s="28"/>
      <c r="B173" s="5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4"/>
      <c r="AH173" s="29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ht="15.75" customHeight="1">
      <c r="A174" s="28"/>
      <c r="B174" s="5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4"/>
      <c r="AH174" s="29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ht="15.75" customHeight="1">
      <c r="A175" s="28"/>
      <c r="B175" s="5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4"/>
      <c r="AH175" s="29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ht="15.75" customHeight="1">
      <c r="A176" s="28"/>
      <c r="B176" s="5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4"/>
      <c r="AH176" s="29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ht="15.75" customHeight="1">
      <c r="A177" s="28"/>
      <c r="B177" s="5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4"/>
      <c r="AH177" s="29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ht="15.75" customHeight="1">
      <c r="A178" s="28"/>
      <c r="B178" s="5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4"/>
      <c r="AH178" s="29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ht="15.75" customHeight="1">
      <c r="A179" s="28"/>
      <c r="B179" s="5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4"/>
      <c r="AH179" s="29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ht="15.75" customHeight="1">
      <c r="A180" s="28"/>
      <c r="B180" s="5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4"/>
      <c r="AH180" s="29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ht="15.75" customHeight="1">
      <c r="A181" s="28"/>
      <c r="B181" s="5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4"/>
      <c r="AH181" s="29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ht="15.75" customHeight="1">
      <c r="A182" s="28"/>
      <c r="B182" s="5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4"/>
      <c r="AH182" s="29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ht="15.75" customHeight="1">
      <c r="A183" s="28"/>
      <c r="B183" s="5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4"/>
      <c r="AH183" s="29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ht="15.75" customHeight="1">
      <c r="A184" s="28"/>
      <c r="B184" s="5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4"/>
      <c r="AH184" s="29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ht="15.75" customHeight="1">
      <c r="A185" s="28"/>
      <c r="B185" s="5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4"/>
      <c r="AH185" s="29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ht="15.75" customHeight="1">
      <c r="A186" s="28"/>
      <c r="B186" s="5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4"/>
      <c r="AH186" s="29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ht="15.75" customHeight="1">
      <c r="A187" s="28"/>
      <c r="B187" s="5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4"/>
      <c r="AH187" s="29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ht="15.75" customHeight="1">
      <c r="A188" s="28"/>
      <c r="B188" s="5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4"/>
      <c r="AH188" s="29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ht="15.75" customHeight="1">
      <c r="A189" s="28"/>
      <c r="B189" s="5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4"/>
      <c r="AH189" s="29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ht="15.75" customHeight="1">
      <c r="A190" s="28"/>
      <c r="B190" s="5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4"/>
      <c r="AH190" s="29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ht="15.75" customHeight="1">
      <c r="A191" s="28"/>
      <c r="B191" s="5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4"/>
      <c r="AH191" s="29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ht="15.75" customHeight="1">
      <c r="A192" s="28"/>
      <c r="B192" s="5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4"/>
      <c r="AH192" s="29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ht="15.75" customHeight="1">
      <c r="A193" s="28"/>
      <c r="B193" s="5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4"/>
      <c r="AH193" s="29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ht="15.75" customHeight="1">
      <c r="A194" s="28"/>
      <c r="B194" s="5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4"/>
      <c r="AH194" s="29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ht="15.75" customHeight="1">
      <c r="A195" s="28"/>
      <c r="B195" s="5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4"/>
      <c r="AH195" s="29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ht="15.75" customHeight="1">
      <c r="A196" s="28"/>
      <c r="B196" s="5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4"/>
      <c r="AH196" s="29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ht="15.75" customHeight="1">
      <c r="A197" s="28"/>
      <c r="B197" s="5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4"/>
      <c r="AH197" s="29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ht="15.75" customHeight="1">
      <c r="A198" s="28"/>
      <c r="B198" s="5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4"/>
      <c r="AH198" s="29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ht="15.75" customHeight="1">
      <c r="A199" s="28"/>
      <c r="B199" s="5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4"/>
      <c r="AH199" s="29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ht="15.75" customHeight="1">
      <c r="A200" s="28"/>
      <c r="B200" s="5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4"/>
      <c r="AH200" s="29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ht="15.75" customHeight="1">
      <c r="A201" s="28"/>
      <c r="B201" s="5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4"/>
      <c r="AH201" s="29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ht="15.75" customHeight="1">
      <c r="A202" s="28"/>
      <c r="B202" s="5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4"/>
      <c r="AH202" s="29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ht="15.75" customHeight="1">
      <c r="A203" s="28"/>
      <c r="B203" s="5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4"/>
      <c r="AH203" s="29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ht="15.75" customHeight="1">
      <c r="A204" s="28"/>
      <c r="B204" s="5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4"/>
      <c r="AH204" s="29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ht="15.75" customHeight="1">
      <c r="A205" s="28"/>
      <c r="B205" s="5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4"/>
      <c r="AH205" s="29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ht="15.75" customHeight="1">
      <c r="A206" s="28"/>
      <c r="B206" s="5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4"/>
      <c r="AH206" s="29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ht="15.75" customHeight="1">
      <c r="A207" s="28"/>
      <c r="B207" s="5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4"/>
      <c r="AH207" s="29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ht="15.75" customHeight="1">
      <c r="A208" s="28"/>
      <c r="B208" s="5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4"/>
      <c r="AH208" s="29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ht="15.75" customHeight="1">
      <c r="A209" s="28"/>
      <c r="B209" s="5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4"/>
      <c r="AH209" s="29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ht="15.75" customHeight="1">
      <c r="A210" s="28"/>
      <c r="B210" s="5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4"/>
      <c r="AH210" s="29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ht="15.75" customHeight="1">
      <c r="A211" s="28"/>
      <c r="B211" s="5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4"/>
      <c r="AH211" s="29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ht="15.75" customHeight="1">
      <c r="A212" s="28"/>
      <c r="B212" s="5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4"/>
      <c r="AH212" s="29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ht="15.75" customHeight="1">
      <c r="A213" s="28"/>
      <c r="B213" s="5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4"/>
      <c r="AH213" s="29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ht="15.75" customHeight="1">
      <c r="A214" s="28"/>
      <c r="B214" s="5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4"/>
      <c r="AH214" s="29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ht="15.75" customHeight="1">
      <c r="A215" s="28"/>
      <c r="B215" s="5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4"/>
      <c r="AH215" s="29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ht="15.75" customHeight="1">
      <c r="A216" s="28"/>
      <c r="B216" s="5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4"/>
      <c r="AH216" s="29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ht="15.75" customHeight="1">
      <c r="A217" s="28"/>
      <c r="B217" s="5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4"/>
      <c r="AH217" s="29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ht="15.75" customHeight="1">
      <c r="A218" s="28"/>
      <c r="B218" s="5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4"/>
      <c r="AH218" s="29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ht="15.75" customHeight="1">
      <c r="A219" s="28"/>
      <c r="B219" s="5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4"/>
      <c r="AH219" s="29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ht="15.75" customHeight="1">
      <c r="A220" s="28"/>
      <c r="B220" s="5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4"/>
      <c r="AH220" s="29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ht="15.75" customHeight="1">
      <c r="A221" s="28"/>
      <c r="B221" s="5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4"/>
      <c r="AH221" s="29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ht="15.75" customHeight="1">
      <c r="A222" s="28"/>
      <c r="B222" s="5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4"/>
      <c r="AH222" s="29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ht="15.75" customHeight="1">
      <c r="A223" s="28"/>
      <c r="B223" s="5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4"/>
      <c r="AH223" s="29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ht="15.75" customHeight="1">
      <c r="A224" s="28"/>
      <c r="B224" s="5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4"/>
      <c r="AH224" s="29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ht="15.75" customHeight="1">
      <c r="A225" s="28"/>
      <c r="B225" s="5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4"/>
      <c r="AH225" s="29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ht="15.75" customHeight="1">
      <c r="A226" s="28"/>
      <c r="B226" s="5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4"/>
      <c r="AH226" s="29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ht="15.75" customHeight="1">
      <c r="A227" s="28"/>
      <c r="B227" s="5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4"/>
      <c r="AH227" s="29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ht="15.75" customHeight="1">
      <c r="A228" s="28"/>
      <c r="B228" s="5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4"/>
      <c r="AH228" s="29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ht="15.75" customHeight="1">
      <c r="A229" s="28"/>
      <c r="B229" s="5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4"/>
      <c r="AH229" s="29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ht="15.75" customHeight="1">
      <c r="A230" s="28"/>
      <c r="B230" s="5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4"/>
      <c r="AH230" s="29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ht="15.75" customHeight="1">
      <c r="A231" s="28"/>
      <c r="B231" s="5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4"/>
      <c r="AH231" s="29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ht="15.75" customHeight="1">
      <c r="A232" s="28"/>
      <c r="B232" s="5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4"/>
      <c r="AH232" s="29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ht="15.75" customHeight="1">
      <c r="A233" s="28"/>
      <c r="B233" s="5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4"/>
      <c r="AH233" s="29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ht="15.75" customHeight="1">
      <c r="A234" s="28"/>
      <c r="B234" s="5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4"/>
      <c r="AH234" s="29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ht="15.75" customHeight="1">
      <c r="A235" s="28"/>
      <c r="B235" s="5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4"/>
      <c r="AH235" s="29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ht="15.75" customHeight="1">
      <c r="A236" s="28"/>
      <c r="B236" s="5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4"/>
      <c r="AH236" s="29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ht="15.75" customHeight="1">
      <c r="A237" s="28"/>
      <c r="B237" s="5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4"/>
      <c r="AH237" s="29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ht="15.75" customHeight="1">
      <c r="A238" s="28"/>
      <c r="B238" s="5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4"/>
      <c r="AH238" s="29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ht="15.75" customHeight="1">
      <c r="A239" s="28"/>
      <c r="B239" s="5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4"/>
      <c r="AH239" s="29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ht="15.75" customHeight="1">
      <c r="A240" s="28"/>
      <c r="B240" s="5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4"/>
      <c r="AH240" s="29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ht="15.75" customHeight="1">
      <c r="A241" s="28"/>
      <c r="B241" s="5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4"/>
      <c r="AH241" s="29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ht="15.75" customHeight="1">
      <c r="A242" s="28"/>
      <c r="B242" s="5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4"/>
      <c r="AH242" s="29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ht="15.75" customHeight="1">
      <c r="A243" s="28"/>
      <c r="B243" s="5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4"/>
      <c r="AH243" s="29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ht="15.75" customHeight="1">
      <c r="A244" s="28"/>
      <c r="B244" s="5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4"/>
      <c r="AH244" s="29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ht="15.75" customHeight="1">
      <c r="A245" s="28"/>
      <c r="B245" s="5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4"/>
      <c r="AH245" s="29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ht="15.75" customHeight="1">
      <c r="A246" s="28"/>
      <c r="B246" s="5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4"/>
      <c r="AH246" s="29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ht="15.75" customHeight="1">
      <c r="A247" s="28"/>
      <c r="B247" s="5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4"/>
      <c r="AH247" s="29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ht="15.75" customHeight="1">
      <c r="A248" s="28"/>
      <c r="B248" s="5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4"/>
      <c r="AH248" s="29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ht="15.75" customHeight="1">
      <c r="A249" s="28"/>
      <c r="B249" s="5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4"/>
      <c r="AH249" s="29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ht="15.75" customHeight="1">
      <c r="A250" s="28"/>
      <c r="B250" s="5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4"/>
      <c r="AH250" s="29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ht="15.75" customHeight="1">
      <c r="A251" s="28"/>
      <c r="B251" s="5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4"/>
      <c r="AH251" s="29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ht="15.75" customHeight="1">
      <c r="A252" s="28"/>
      <c r="B252" s="5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4"/>
      <c r="AH252" s="29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ht="15.75" customHeight="1">
      <c r="A253" s="28"/>
      <c r="B253" s="5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4"/>
      <c r="AH253" s="29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ht="15.75" customHeight="1">
      <c r="A254" s="28"/>
      <c r="B254" s="5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4"/>
      <c r="AH254" s="29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ht="15.75" customHeight="1">
      <c r="A255" s="28"/>
      <c r="B255" s="5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4"/>
      <c r="AH255" s="29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ht="15.75" customHeight="1">
      <c r="A256" s="28"/>
      <c r="B256" s="5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4"/>
      <c r="AH256" s="29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ht="15.75" customHeight="1">
      <c r="A257" s="28"/>
      <c r="B257" s="5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4"/>
      <c r="AH257" s="29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ht="15.75" customHeight="1">
      <c r="A258" s="28"/>
      <c r="B258" s="5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4"/>
      <c r="AH258" s="29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ht="15.75" customHeight="1">
      <c r="A259" s="28"/>
      <c r="B259" s="5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4"/>
      <c r="AH259" s="29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ht="15.75" customHeight="1">
      <c r="A260" s="28"/>
      <c r="B260" s="5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4"/>
      <c r="AH260" s="29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ht="15.75" customHeight="1">
      <c r="A261" s="28"/>
      <c r="B261" s="5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4"/>
      <c r="AH261" s="29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ht="15.75" customHeight="1">
      <c r="A262" s="28"/>
      <c r="B262" s="5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4"/>
      <c r="AH262" s="29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ht="15.75" customHeight="1">
      <c r="A263" s="28"/>
      <c r="B263" s="5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4"/>
      <c r="AH263" s="29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ht="15.75" customHeight="1">
      <c r="A264" s="28"/>
      <c r="B264" s="5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4"/>
      <c r="AH264" s="29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ht="15.75" customHeight="1">
      <c r="A265" s="28"/>
      <c r="B265" s="5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4"/>
      <c r="AH265" s="29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ht="15.75" customHeight="1">
      <c r="A266" s="28"/>
      <c r="B266" s="5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4"/>
      <c r="AH266" s="29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ht="15.75" customHeight="1">
      <c r="A267" s="28"/>
      <c r="B267" s="5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4"/>
      <c r="AH267" s="29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ht="15.75" customHeight="1">
      <c r="A268" s="28"/>
      <c r="B268" s="5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4"/>
      <c r="AH268" s="29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ht="15.75" customHeight="1">
      <c r="A269" s="28"/>
      <c r="B269" s="5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4"/>
      <c r="AH269" s="29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ht="15.75" customHeight="1">
      <c r="A270" s="28"/>
      <c r="B270" s="5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4"/>
      <c r="AH270" s="29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ht="15.75" customHeight="1">
      <c r="A271" s="28"/>
      <c r="B271" s="5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4"/>
      <c r="AH271" s="29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ht="15.75" customHeight="1">
      <c r="A272" s="28"/>
      <c r="B272" s="5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4"/>
      <c r="AH272" s="29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ht="15.75" customHeight="1">
      <c r="A273" s="28"/>
      <c r="B273" s="5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4"/>
      <c r="AH273" s="29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ht="15.75" customHeight="1">
      <c r="A274" s="28"/>
      <c r="B274" s="5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4"/>
      <c r="AH274" s="29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ht="15.75" customHeight="1">
      <c r="A275" s="28"/>
      <c r="B275" s="5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4"/>
      <c r="AH275" s="29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ht="15.75" customHeight="1">
      <c r="A276" s="28"/>
      <c r="B276" s="5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4"/>
      <c r="AH276" s="29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ht="15.75" customHeight="1">
      <c r="A277" s="28"/>
      <c r="B277" s="5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4"/>
      <c r="AH277" s="29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ht="15.75" customHeight="1">
      <c r="A278" s="28"/>
      <c r="B278" s="5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4"/>
      <c r="AH278" s="29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ht="15.75" customHeight="1">
      <c r="A279" s="28"/>
      <c r="B279" s="5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4"/>
      <c r="AH279" s="29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ht="15.75" customHeight="1">
      <c r="A280" s="28"/>
      <c r="B280" s="5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4"/>
      <c r="AH280" s="29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ht="15.75" customHeight="1">
      <c r="A281" s="28"/>
      <c r="B281" s="5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4"/>
      <c r="AH281" s="29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ht="15.75" customHeight="1">
      <c r="A282" s="28"/>
      <c r="B282" s="5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4"/>
      <c r="AH282" s="29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ht="15.75" customHeight="1">
      <c r="A283" s="28"/>
      <c r="B283" s="5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4"/>
      <c r="AH283" s="29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ht="15.75" customHeight="1">
      <c r="A284" s="28"/>
      <c r="B284" s="5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4"/>
      <c r="AH284" s="29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ht="15.75" customHeight="1">
      <c r="A285" s="28"/>
      <c r="B285" s="5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4"/>
      <c r="AH285" s="29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ht="15.75" customHeight="1">
      <c r="A286" s="28"/>
      <c r="B286" s="5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4"/>
      <c r="AH286" s="29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ht="15.75" customHeight="1">
      <c r="A287" s="28"/>
      <c r="B287" s="5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4"/>
      <c r="AH287" s="29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ht="15.75" customHeight="1">
      <c r="A288" s="28"/>
      <c r="B288" s="5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4"/>
      <c r="AH288" s="29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ht="15.75" customHeight="1">
      <c r="A289" s="28"/>
      <c r="B289" s="5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4"/>
      <c r="AH289" s="29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ht="15.75" customHeight="1">
      <c r="A290" s="28"/>
      <c r="B290" s="5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4"/>
      <c r="AH290" s="29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ht="15.75" customHeight="1">
      <c r="A291" s="28"/>
      <c r="B291" s="5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4"/>
      <c r="AH291" s="29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ht="15.75" customHeight="1">
      <c r="A292" s="28"/>
      <c r="B292" s="5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4"/>
      <c r="AH292" s="29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ht="15.75" customHeight="1">
      <c r="A293" s="28"/>
      <c r="B293" s="5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4"/>
      <c r="AH293" s="29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ht="15.75" customHeight="1">
      <c r="A294" s="28"/>
      <c r="B294" s="5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4"/>
      <c r="AH294" s="29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ht="15.75" customHeight="1">
      <c r="A295" s="28"/>
      <c r="B295" s="5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4"/>
      <c r="AH295" s="29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ht="15.75" customHeight="1">
      <c r="A296" s="28"/>
      <c r="B296" s="5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4"/>
      <c r="AH296" s="29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ht="15.75" customHeight="1">
      <c r="A297" s="28"/>
      <c r="B297" s="5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4"/>
      <c r="AH297" s="29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ht="15.75" customHeight="1">
      <c r="A298" s="28"/>
      <c r="B298" s="5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4"/>
      <c r="AH298" s="29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ht="15.75" customHeight="1">
      <c r="A299" s="28"/>
      <c r="B299" s="5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4"/>
      <c r="AH299" s="29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ht="15.75" customHeight="1">
      <c r="A300" s="28"/>
      <c r="B300" s="5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4"/>
      <c r="AH300" s="29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ht="15.75" customHeight="1">
      <c r="A301" s="28"/>
      <c r="B301" s="5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4"/>
      <c r="AH301" s="29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ht="15.75" customHeight="1">
      <c r="A302" s="28"/>
      <c r="B302" s="5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4"/>
      <c r="AH302" s="29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ht="15.75" customHeight="1">
      <c r="A303" s="28"/>
      <c r="B303" s="5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4"/>
      <c r="AH303" s="29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ht="15.75" customHeight="1">
      <c r="A304" s="28"/>
      <c r="B304" s="5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4"/>
      <c r="AH304" s="29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ht="15.75" customHeight="1">
      <c r="A305" s="28"/>
      <c r="B305" s="5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4"/>
      <c r="AH305" s="29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ht="15.75" customHeight="1">
      <c r="A306" s="28"/>
      <c r="B306" s="5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4"/>
      <c r="AH306" s="29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ht="15.75" customHeight="1">
      <c r="A307" s="28"/>
      <c r="B307" s="5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4"/>
      <c r="AH307" s="29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ht="15.75" customHeight="1">
      <c r="A308" s="28"/>
      <c r="B308" s="5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4"/>
      <c r="AH308" s="29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ht="15.75" customHeight="1">
      <c r="A309" s="28"/>
      <c r="B309" s="5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4"/>
      <c r="AH309" s="29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ht="15.75" customHeight="1">
      <c r="A310" s="28"/>
      <c r="B310" s="5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4"/>
      <c r="AH310" s="29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ht="15.75" customHeight="1">
      <c r="A311" s="28"/>
      <c r="B311" s="5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4"/>
      <c r="AH311" s="29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ht="15.75" customHeight="1">
      <c r="A312" s="28"/>
      <c r="B312" s="5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4"/>
      <c r="AH312" s="29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ht="15.75" customHeight="1">
      <c r="A313" s="28"/>
      <c r="B313" s="5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4"/>
      <c r="AH313" s="29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ht="15.75" customHeight="1">
      <c r="A314" s="28"/>
      <c r="B314" s="5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4"/>
      <c r="AH314" s="29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ht="15.75" customHeight="1">
      <c r="A315" s="28"/>
      <c r="B315" s="5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4"/>
      <c r="AH315" s="29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ht="15.75" customHeight="1">
      <c r="A316" s="28"/>
      <c r="B316" s="5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4"/>
      <c r="AH316" s="29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ht="15.75" customHeight="1">
      <c r="A317" s="28"/>
      <c r="B317" s="5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4"/>
      <c r="AH317" s="29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ht="15.75" customHeight="1">
      <c r="A318" s="28"/>
      <c r="B318" s="5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4"/>
      <c r="AH318" s="29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ht="15.75" customHeight="1">
      <c r="A319" s="28"/>
      <c r="B319" s="5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4"/>
      <c r="AH319" s="29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ht="15.75" customHeight="1">
      <c r="A320" s="28"/>
      <c r="B320" s="5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4"/>
      <c r="AH320" s="29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ht="15.75" customHeight="1">
      <c r="A321" s="28"/>
      <c r="B321" s="5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4"/>
      <c r="AH321" s="29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ht="15.75" customHeight="1">
      <c r="A322" s="28"/>
      <c r="B322" s="5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4"/>
      <c r="AH322" s="29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ht="15.75" customHeight="1">
      <c r="A323" s="28"/>
      <c r="B323" s="5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4"/>
      <c r="AH323" s="29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ht="15.75" customHeight="1">
      <c r="A324" s="28"/>
      <c r="B324" s="5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4"/>
      <c r="AH324" s="29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ht="15.75" customHeight="1">
      <c r="A325" s="28"/>
      <c r="B325" s="5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4"/>
      <c r="AH325" s="29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ht="15.75" customHeight="1">
      <c r="A326" s="28"/>
      <c r="B326" s="5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4"/>
      <c r="AH326" s="29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ht="15.75" customHeight="1">
      <c r="A327" s="28"/>
      <c r="B327" s="5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4"/>
      <c r="AH327" s="29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ht="15.75" customHeight="1">
      <c r="A328" s="28"/>
      <c r="B328" s="5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4"/>
      <c r="AH328" s="29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ht="15.75" customHeight="1">
      <c r="A329" s="28"/>
      <c r="B329" s="5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4"/>
      <c r="AH329" s="29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ht="15.75" customHeight="1">
      <c r="A330" s="28"/>
      <c r="B330" s="5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4"/>
      <c r="AH330" s="29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ht="15.75" customHeight="1">
      <c r="A331" s="28"/>
      <c r="B331" s="5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4"/>
      <c r="AH331" s="29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ht="15.75" customHeight="1">
      <c r="A332" s="28"/>
      <c r="B332" s="5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4"/>
      <c r="AH332" s="29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ht="15.75" customHeight="1">
      <c r="A333" s="28"/>
      <c r="B333" s="5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4"/>
      <c r="AH333" s="29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ht="15.75" customHeight="1">
      <c r="A334" s="28"/>
      <c r="B334" s="5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4"/>
      <c r="AH334" s="29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ht="15.75" customHeight="1">
      <c r="A335" s="28"/>
      <c r="B335" s="5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4"/>
      <c r="AH335" s="29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ht="15.75" customHeight="1">
      <c r="A336" s="28"/>
      <c r="B336" s="5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4"/>
      <c r="AH336" s="29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ht="15.75" customHeight="1">
      <c r="A337" s="28"/>
      <c r="B337" s="5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4"/>
      <c r="AH337" s="29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ht="15.75" customHeight="1">
      <c r="A338" s="28"/>
      <c r="B338" s="5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4"/>
      <c r="AH338" s="29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ht="15.75" customHeight="1">
      <c r="A339" s="28"/>
      <c r="B339" s="5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4"/>
      <c r="AH339" s="29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ht="15.75" customHeight="1">
      <c r="A340" s="28"/>
      <c r="B340" s="5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4"/>
      <c r="AH340" s="29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ht="15.75" customHeight="1">
      <c r="A341" s="28"/>
      <c r="B341" s="5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4"/>
      <c r="AH341" s="29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ht="15.75" customHeight="1">
      <c r="A342" s="28"/>
      <c r="B342" s="5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4"/>
      <c r="AH342" s="29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ht="15.75" customHeight="1">
      <c r="A343" s="28"/>
      <c r="B343" s="5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4"/>
      <c r="AH343" s="29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ht="15.75" customHeight="1">
      <c r="A344" s="28"/>
      <c r="B344" s="5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4"/>
      <c r="AH344" s="29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ht="15.75" customHeight="1">
      <c r="A345" s="28"/>
      <c r="B345" s="5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4"/>
      <c r="AH345" s="29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ht="15.75" customHeight="1">
      <c r="A346" s="28"/>
      <c r="B346" s="5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4"/>
      <c r="AH346" s="29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ht="15.75" customHeight="1">
      <c r="A347" s="28"/>
      <c r="B347" s="5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4"/>
      <c r="AH347" s="29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ht="15.75" customHeight="1">
      <c r="A348" s="28"/>
      <c r="B348" s="5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4"/>
      <c r="AH348" s="29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ht="15.75" customHeight="1">
      <c r="A349" s="28"/>
      <c r="B349" s="5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4"/>
      <c r="AH349" s="29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ht="15.75" customHeight="1">
      <c r="A350" s="28"/>
      <c r="B350" s="5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4"/>
      <c r="AH350" s="29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ht="15.75" customHeight="1">
      <c r="A351" s="28"/>
      <c r="B351" s="5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4"/>
      <c r="AH351" s="29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ht="15.75" customHeight="1">
      <c r="A352" s="28"/>
      <c r="B352" s="5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4"/>
      <c r="AH352" s="29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ht="15.75" customHeight="1">
      <c r="A353" s="28"/>
      <c r="B353" s="5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4"/>
      <c r="AH353" s="29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ht="15.75" customHeight="1">
      <c r="A354" s="28"/>
      <c r="B354" s="5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4"/>
      <c r="AH354" s="29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ht="15.75" customHeight="1">
      <c r="A355" s="28"/>
      <c r="B355" s="5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4"/>
      <c r="AH355" s="29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ht="15.75" customHeight="1">
      <c r="A356" s="28"/>
      <c r="B356" s="5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4"/>
      <c r="AH356" s="29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ht="15.75" customHeight="1">
      <c r="A357" s="28"/>
      <c r="B357" s="5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4"/>
      <c r="AH357" s="29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ht="15.75" customHeight="1">
      <c r="A358" s="28"/>
      <c r="B358" s="5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4"/>
      <c r="AH358" s="29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ht="15.75" customHeight="1">
      <c r="A359" s="28"/>
      <c r="B359" s="5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4"/>
      <c r="AH359" s="29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ht="15.75" customHeight="1">
      <c r="A360" s="28"/>
      <c r="B360" s="5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4"/>
      <c r="AH360" s="29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ht="15.75" customHeight="1">
      <c r="A361" s="28"/>
      <c r="B361" s="5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4"/>
      <c r="AH361" s="29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ht="15.75" customHeight="1">
      <c r="A362" s="28"/>
      <c r="B362" s="5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4"/>
      <c r="AH362" s="29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ht="15.75" customHeight="1">
      <c r="A363" s="28"/>
      <c r="B363" s="5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4"/>
      <c r="AH363" s="29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ht="15.75" customHeight="1">
      <c r="A364" s="28"/>
      <c r="B364" s="5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4"/>
      <c r="AH364" s="29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ht="15.75" customHeight="1">
      <c r="A365" s="28"/>
      <c r="B365" s="5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4"/>
      <c r="AH365" s="29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ht="15.75" customHeight="1">
      <c r="A366" s="28"/>
      <c r="B366" s="5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4"/>
      <c r="AH366" s="29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ht="15.75" customHeight="1">
      <c r="A367" s="28"/>
      <c r="B367" s="5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4"/>
      <c r="AH367" s="29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ht="15.75" customHeight="1">
      <c r="A368" s="28"/>
      <c r="B368" s="5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4"/>
      <c r="AH368" s="29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ht="15.75" customHeight="1">
      <c r="A369" s="28"/>
      <c r="B369" s="5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4"/>
      <c r="AH369" s="29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ht="15.75" customHeight="1">
      <c r="A370" s="28"/>
      <c r="B370" s="5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4"/>
      <c r="AH370" s="29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ht="15.75" customHeight="1">
      <c r="A371" s="28"/>
      <c r="B371" s="5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4"/>
      <c r="AH371" s="29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ht="15.75" customHeight="1">
      <c r="A372" s="28"/>
      <c r="B372" s="5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4"/>
      <c r="AH372" s="29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ht="15.75" customHeight="1">
      <c r="A373" s="28"/>
      <c r="B373" s="5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4"/>
      <c r="AH373" s="29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ht="15.75" customHeight="1">
      <c r="A374" s="28"/>
      <c r="B374" s="5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4"/>
      <c r="AH374" s="29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ht="15.75" customHeight="1">
      <c r="A375" s="28"/>
      <c r="B375" s="5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4"/>
      <c r="AH375" s="29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ht="15.75" customHeight="1">
      <c r="A376" s="28"/>
      <c r="B376" s="5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4"/>
      <c r="AH376" s="29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ht="15.75" customHeight="1">
      <c r="A377" s="28"/>
      <c r="B377" s="5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4"/>
      <c r="AH377" s="29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ht="15.75" customHeight="1">
      <c r="A378" s="28"/>
      <c r="B378" s="5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4"/>
      <c r="AH378" s="29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ht="15.75" customHeight="1">
      <c r="A379" s="28"/>
      <c r="B379" s="5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4"/>
      <c r="AH379" s="29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ht="15.75" customHeight="1">
      <c r="A380" s="28"/>
      <c r="B380" s="5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4"/>
      <c r="AH380" s="29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ht="15.75" customHeight="1">
      <c r="A381" s="28"/>
      <c r="B381" s="5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4"/>
      <c r="AH381" s="29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ht="15.75" customHeight="1">
      <c r="A382" s="28"/>
      <c r="B382" s="5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4"/>
      <c r="AH382" s="29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ht="15.75" customHeight="1">
      <c r="A383" s="28"/>
      <c r="B383" s="5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4"/>
      <c r="AH383" s="29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ht="15.75" customHeight="1">
      <c r="A384" s="28"/>
      <c r="B384" s="5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4"/>
      <c r="AH384" s="29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ht="15.75" customHeight="1">
      <c r="A385" s="28"/>
      <c r="B385" s="5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4"/>
      <c r="AH385" s="29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ht="15.75" customHeight="1">
      <c r="A386" s="28"/>
      <c r="B386" s="5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4"/>
      <c r="AH386" s="29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ht="15.75" customHeight="1">
      <c r="A387" s="28"/>
      <c r="B387" s="5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4"/>
      <c r="AH387" s="29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ht="15.75" customHeight="1">
      <c r="A388" s="28"/>
      <c r="B388" s="5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4"/>
      <c r="AH388" s="29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ht="15.75" customHeight="1">
      <c r="A389" s="28"/>
      <c r="B389" s="5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4"/>
      <c r="AH389" s="29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ht="15.75" customHeight="1">
      <c r="A390" s="28"/>
      <c r="B390" s="5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4"/>
      <c r="AH390" s="29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ht="15.75" customHeight="1">
      <c r="A391" s="28"/>
      <c r="B391" s="5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4"/>
      <c r="AH391" s="29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ht="15.75" customHeight="1">
      <c r="A392" s="28"/>
      <c r="B392" s="5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4"/>
      <c r="AH392" s="29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ht="15.75" customHeight="1">
      <c r="A393" s="28"/>
      <c r="B393" s="5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4"/>
      <c r="AH393" s="29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ht="15.75" customHeight="1">
      <c r="A394" s="28"/>
      <c r="B394" s="5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4"/>
      <c r="AH394" s="29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ht="15.75" customHeight="1">
      <c r="A395" s="28"/>
      <c r="B395" s="5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4"/>
      <c r="AH395" s="29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ht="15.75" customHeight="1">
      <c r="A396" s="28"/>
      <c r="B396" s="5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4"/>
      <c r="AH396" s="29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ht="15.75" customHeight="1">
      <c r="A397" s="28"/>
      <c r="B397" s="5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4"/>
      <c r="AH397" s="29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ht="15.75" customHeight="1">
      <c r="A398" s="28"/>
      <c r="B398" s="5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4"/>
      <c r="AH398" s="29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ht="15.75" customHeight="1">
      <c r="A399" s="28"/>
      <c r="B399" s="5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4"/>
      <c r="AH399" s="29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ht="15.75" customHeight="1">
      <c r="A400" s="28"/>
      <c r="B400" s="5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4"/>
      <c r="AH400" s="29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ht="15.75" customHeight="1">
      <c r="A401" s="28"/>
      <c r="B401" s="5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4"/>
      <c r="AH401" s="29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ht="15.75" customHeight="1">
      <c r="A402" s="28"/>
      <c r="B402" s="5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4"/>
      <c r="AH402" s="29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ht="15.75" customHeight="1">
      <c r="A403" s="28"/>
      <c r="B403" s="5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4"/>
      <c r="AH403" s="29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ht="15.75" customHeight="1">
      <c r="A404" s="28"/>
      <c r="B404" s="5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4"/>
      <c r="AH404" s="29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ht="15.75" customHeight="1">
      <c r="A405" s="28"/>
      <c r="B405" s="5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4"/>
      <c r="AH405" s="29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ht="15.75" customHeight="1">
      <c r="A406" s="28"/>
      <c r="B406" s="5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4"/>
      <c r="AH406" s="29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ht="15.75" customHeight="1">
      <c r="A407" s="28"/>
      <c r="B407" s="5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4"/>
      <c r="AH407" s="29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ht="15.75" customHeight="1">
      <c r="A408" s="28"/>
      <c r="B408" s="5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4"/>
      <c r="AH408" s="29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ht="15.75" customHeight="1">
      <c r="A409" s="28"/>
      <c r="B409" s="5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4"/>
      <c r="AH409" s="29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ht="15.75" customHeight="1">
      <c r="A410" s="28"/>
      <c r="B410" s="5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4"/>
      <c r="AH410" s="29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ht="15.75" customHeight="1">
      <c r="A411" s="28"/>
      <c r="B411" s="5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4"/>
      <c r="AH411" s="29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ht="15.75" customHeight="1">
      <c r="A412" s="28"/>
      <c r="B412" s="5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4"/>
      <c r="AH412" s="29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ht="15.75" customHeight="1">
      <c r="A413" s="28"/>
      <c r="B413" s="5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4"/>
      <c r="AH413" s="29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ht="15.75" customHeight="1">
      <c r="A414" s="28"/>
      <c r="B414" s="5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4"/>
      <c r="AH414" s="29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ht="15.75" customHeight="1">
      <c r="A415" s="28"/>
      <c r="B415" s="5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4"/>
      <c r="AH415" s="29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ht="15.75" customHeight="1">
      <c r="A416" s="28"/>
      <c r="B416" s="5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4"/>
      <c r="AH416" s="29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ht="15.75" customHeight="1">
      <c r="A417" s="28"/>
      <c r="B417" s="5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4"/>
      <c r="AH417" s="29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ht="15.75" customHeight="1">
      <c r="A418" s="28"/>
      <c r="B418" s="5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4"/>
      <c r="AH418" s="29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ht="15.75" customHeight="1">
      <c r="A419" s="28"/>
      <c r="B419" s="5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4"/>
      <c r="AH419" s="29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ht="15.75" customHeight="1">
      <c r="A420" s="28"/>
      <c r="B420" s="5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4"/>
      <c r="AH420" s="29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ht="15.75" customHeight="1">
      <c r="A421" s="28"/>
      <c r="B421" s="5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4"/>
      <c r="AH421" s="29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ht="15.75" customHeight="1">
      <c r="A422" s="28"/>
      <c r="B422" s="5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4"/>
      <c r="AH422" s="29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ht="15.75" customHeight="1">
      <c r="A423" s="28"/>
      <c r="B423" s="5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4"/>
      <c r="AH423" s="29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ht="15.75" customHeight="1">
      <c r="A424" s="28"/>
      <c r="B424" s="5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4"/>
      <c r="AH424" s="29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ht="15.75" customHeight="1">
      <c r="A425" s="28"/>
      <c r="B425" s="5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4"/>
      <c r="AH425" s="29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ht="15.75" customHeight="1">
      <c r="A426" s="28"/>
      <c r="B426" s="5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4"/>
      <c r="AH426" s="29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ht="15.75" customHeight="1">
      <c r="A427" s="28"/>
      <c r="B427" s="5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4"/>
      <c r="AH427" s="29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ht="15.75" customHeight="1">
      <c r="A428" s="28"/>
      <c r="B428" s="5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4"/>
      <c r="AH428" s="29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ht="15.75" customHeight="1">
      <c r="A429" s="28"/>
      <c r="B429" s="5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4"/>
      <c r="AH429" s="29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ht="15.75" customHeight="1">
      <c r="A430" s="28"/>
      <c r="B430" s="5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4"/>
      <c r="AH430" s="29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ht="15.75" customHeight="1">
      <c r="A431" s="28"/>
      <c r="B431" s="5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4"/>
      <c r="AH431" s="29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ht="15.75" customHeight="1">
      <c r="A432" s="28"/>
      <c r="B432" s="5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4"/>
      <c r="AH432" s="29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ht="15.75" customHeight="1">
      <c r="A433" s="28"/>
      <c r="B433" s="5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4"/>
      <c r="AH433" s="29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ht="15.75" customHeight="1">
      <c r="A434" s="28"/>
      <c r="B434" s="5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4"/>
      <c r="AH434" s="29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ht="15.75" customHeight="1">
      <c r="A435" s="28"/>
      <c r="B435" s="5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4"/>
      <c r="AH435" s="29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ht="15.75" customHeight="1">
      <c r="A436" s="28"/>
      <c r="B436" s="5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4"/>
      <c r="AH436" s="29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ht="15.75" customHeight="1">
      <c r="A437" s="28"/>
      <c r="B437" s="5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4"/>
      <c r="AH437" s="29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ht="15.75" customHeight="1">
      <c r="A438" s="28"/>
      <c r="B438" s="5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4"/>
      <c r="AH438" s="29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ht="15.75" customHeight="1">
      <c r="A439" s="28"/>
      <c r="B439" s="5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4"/>
      <c r="AH439" s="29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ht="15.75" customHeight="1">
      <c r="A440" s="28"/>
      <c r="B440" s="5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4"/>
      <c r="AH440" s="29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ht="15.75" customHeight="1">
      <c r="A441" s="28"/>
      <c r="B441" s="5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4"/>
      <c r="AH441" s="29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ht="15.75" customHeight="1">
      <c r="A442" s="28"/>
      <c r="B442" s="5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4"/>
      <c r="AH442" s="29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ht="15.75" customHeight="1">
      <c r="A443" s="28"/>
      <c r="B443" s="5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4"/>
      <c r="AH443" s="29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ht="15.75" customHeight="1">
      <c r="A444" s="28"/>
      <c r="B444" s="5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4"/>
      <c r="AH444" s="29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ht="15.75" customHeight="1">
      <c r="A445" s="28"/>
      <c r="B445" s="5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4"/>
      <c r="AH445" s="29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ht="15.75" customHeight="1">
      <c r="A446" s="28"/>
      <c r="B446" s="5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4"/>
      <c r="AH446" s="29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ht="15.75" customHeight="1">
      <c r="A447" s="28"/>
      <c r="B447" s="5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4"/>
      <c r="AH447" s="29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ht="15.75" customHeight="1">
      <c r="A448" s="28"/>
      <c r="B448" s="5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4"/>
      <c r="AH448" s="29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ht="15.75" customHeight="1">
      <c r="A449" s="28"/>
      <c r="B449" s="5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4"/>
      <c r="AH449" s="29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ht="15.75" customHeight="1">
      <c r="A450" s="28"/>
      <c r="B450" s="5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4"/>
      <c r="AH450" s="29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ht="15.75" customHeight="1">
      <c r="A451" s="28"/>
      <c r="B451" s="5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4"/>
      <c r="AH451" s="29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ht="15.75" customHeight="1">
      <c r="A452" s="28"/>
      <c r="B452" s="5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4"/>
      <c r="AH452" s="29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ht="15.75" customHeight="1">
      <c r="A453" s="28"/>
      <c r="B453" s="5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4"/>
      <c r="AH453" s="29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ht="15.75" customHeight="1">
      <c r="A454" s="28"/>
      <c r="B454" s="5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4"/>
      <c r="AH454" s="29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ht="15.75" customHeight="1">
      <c r="A455" s="28"/>
      <c r="B455" s="5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4"/>
      <c r="AH455" s="29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ht="15.75" customHeight="1">
      <c r="A456" s="28"/>
      <c r="B456" s="5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4"/>
      <c r="AH456" s="29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ht="15.75" customHeight="1">
      <c r="A457" s="28"/>
      <c r="B457" s="5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4"/>
      <c r="AH457" s="29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ht="15.75" customHeight="1">
      <c r="A458" s="28"/>
      <c r="B458" s="5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4"/>
      <c r="AH458" s="29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ht="15.75" customHeight="1">
      <c r="A459" s="28"/>
      <c r="B459" s="5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4"/>
      <c r="AH459" s="29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ht="15.75" customHeight="1">
      <c r="A460" s="28"/>
      <c r="B460" s="5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4"/>
      <c r="AH460" s="29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ht="15.75" customHeight="1">
      <c r="A461" s="28"/>
      <c r="B461" s="5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4"/>
      <c r="AH461" s="29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ht="15.75" customHeight="1">
      <c r="A462" s="28"/>
      <c r="B462" s="5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4"/>
      <c r="AH462" s="29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ht="15.75" customHeight="1">
      <c r="A463" s="28"/>
      <c r="B463" s="5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4"/>
      <c r="AH463" s="29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ht="15.75" customHeight="1">
      <c r="A464" s="28"/>
      <c r="B464" s="5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4"/>
      <c r="AH464" s="29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ht="15.75" customHeight="1">
      <c r="A465" s="28"/>
      <c r="B465" s="5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4"/>
      <c r="AH465" s="29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ht="15.75" customHeight="1">
      <c r="A466" s="28"/>
      <c r="B466" s="5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4"/>
      <c r="AH466" s="29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ht="15.75" customHeight="1">
      <c r="A467" s="28"/>
      <c r="B467" s="5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4"/>
      <c r="AH467" s="29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ht="15.75" customHeight="1">
      <c r="A468" s="28"/>
      <c r="B468" s="5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4"/>
      <c r="AH468" s="29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ht="15.75" customHeight="1">
      <c r="A469" s="28"/>
      <c r="B469" s="5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4"/>
      <c r="AH469" s="29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ht="15.75" customHeight="1">
      <c r="A470" s="28"/>
      <c r="B470" s="5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4"/>
      <c r="AH470" s="29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ht="15.75" customHeight="1">
      <c r="A471" s="28"/>
      <c r="B471" s="5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4"/>
      <c r="AH471" s="29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ht="15.75" customHeight="1">
      <c r="A472" s="28"/>
      <c r="B472" s="5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4"/>
      <c r="AH472" s="29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ht="15.75" customHeight="1">
      <c r="A473" s="28"/>
      <c r="B473" s="5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4"/>
      <c r="AH473" s="29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ht="15.75" customHeight="1">
      <c r="A474" s="28"/>
      <c r="B474" s="5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4"/>
      <c r="AH474" s="29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ht="15.75" customHeight="1">
      <c r="A475" s="28"/>
      <c r="B475" s="5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4"/>
      <c r="AH475" s="29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ht="15.75" customHeight="1">
      <c r="A476" s="28"/>
      <c r="B476" s="5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4"/>
      <c r="AH476" s="29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ht="15.75" customHeight="1">
      <c r="A477" s="28"/>
      <c r="B477" s="5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4"/>
      <c r="AH477" s="29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ht="15.75" customHeight="1">
      <c r="A478" s="28"/>
      <c r="B478" s="5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4"/>
      <c r="AH478" s="29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ht="15.75" customHeight="1">
      <c r="A479" s="28"/>
      <c r="B479" s="5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4"/>
      <c r="AH479" s="29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ht="15.75" customHeight="1">
      <c r="A480" s="28"/>
      <c r="B480" s="5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4"/>
      <c r="AH480" s="29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ht="15.75" customHeight="1">
      <c r="A481" s="28"/>
      <c r="B481" s="5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4"/>
      <c r="AH481" s="29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ht="15.75" customHeight="1">
      <c r="A482" s="28"/>
      <c r="B482" s="5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4"/>
      <c r="AH482" s="29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ht="15.75" customHeight="1">
      <c r="A483" s="28"/>
      <c r="B483" s="5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4"/>
      <c r="AH483" s="29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ht="15.75" customHeight="1">
      <c r="A484" s="28"/>
      <c r="B484" s="5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4"/>
      <c r="AH484" s="29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ht="15.75" customHeight="1">
      <c r="A485" s="28"/>
      <c r="B485" s="5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4"/>
      <c r="AH485" s="29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ht="15.75" customHeight="1">
      <c r="A486" s="28"/>
      <c r="B486" s="5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4"/>
      <c r="AH486" s="29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ht="15.75" customHeight="1">
      <c r="A487" s="28"/>
      <c r="B487" s="5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4"/>
      <c r="AH487" s="29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ht="15.75" customHeight="1">
      <c r="A488" s="28"/>
      <c r="B488" s="5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4"/>
      <c r="AH488" s="29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ht="15.75" customHeight="1">
      <c r="A489" s="28"/>
      <c r="B489" s="5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4"/>
      <c r="AH489" s="29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ht="15.75" customHeight="1">
      <c r="A490" s="28"/>
      <c r="B490" s="5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4"/>
      <c r="AH490" s="29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ht="15.75" customHeight="1">
      <c r="A491" s="28"/>
      <c r="B491" s="5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4"/>
      <c r="AH491" s="29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ht="15.75" customHeight="1">
      <c r="A492" s="28"/>
      <c r="B492" s="5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4"/>
      <c r="AH492" s="29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ht="15.75" customHeight="1">
      <c r="A493" s="28"/>
      <c r="B493" s="5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4"/>
      <c r="AH493" s="29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ht="15.75" customHeight="1">
      <c r="A494" s="28"/>
      <c r="B494" s="5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4"/>
      <c r="AH494" s="29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ht="15.75" customHeight="1">
      <c r="A495" s="28"/>
      <c r="B495" s="5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4"/>
      <c r="AH495" s="29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ht="15.75" customHeight="1">
      <c r="A496" s="28"/>
      <c r="B496" s="5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4"/>
      <c r="AH496" s="29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ht="15.75" customHeight="1">
      <c r="A497" s="28"/>
      <c r="B497" s="5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4"/>
      <c r="AH497" s="29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ht="15.75" customHeight="1">
      <c r="A498" s="28"/>
      <c r="B498" s="5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4"/>
      <c r="AH498" s="29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ht="15.75" customHeight="1">
      <c r="A499" s="28"/>
      <c r="B499" s="5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4"/>
      <c r="AH499" s="29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  <row r="500" ht="15.75" customHeight="1">
      <c r="A500" s="28"/>
      <c r="B500" s="5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4"/>
      <c r="AH500" s="29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  <row r="501" ht="15.75" customHeight="1">
      <c r="A501" s="28"/>
      <c r="B501" s="5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4"/>
      <c r="AH501" s="29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</row>
    <row r="502" ht="15.75" customHeight="1">
      <c r="A502" s="28"/>
      <c r="B502" s="5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4"/>
      <c r="AH502" s="29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</row>
    <row r="503" ht="15.75" customHeight="1">
      <c r="A503" s="28"/>
      <c r="B503" s="5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4"/>
      <c r="AH503" s="29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</row>
    <row r="504" ht="15.75" customHeight="1">
      <c r="A504" s="28"/>
      <c r="B504" s="5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4"/>
      <c r="AH504" s="29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</row>
    <row r="505" ht="15.75" customHeight="1">
      <c r="A505" s="28"/>
      <c r="B505" s="5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4"/>
      <c r="AH505" s="29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</row>
    <row r="506" ht="15.75" customHeight="1">
      <c r="A506" s="28"/>
      <c r="B506" s="5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4"/>
      <c r="AH506" s="29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</row>
    <row r="507" ht="15.75" customHeight="1">
      <c r="A507" s="28"/>
      <c r="B507" s="5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4"/>
      <c r="AH507" s="29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</row>
    <row r="508" ht="15.75" customHeight="1">
      <c r="A508" s="28"/>
      <c r="B508" s="5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4"/>
      <c r="AH508" s="29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</row>
    <row r="509" ht="15.75" customHeight="1">
      <c r="A509" s="28"/>
      <c r="B509" s="5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4"/>
      <c r="AH509" s="29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</row>
    <row r="510" ht="15.75" customHeight="1">
      <c r="A510" s="28"/>
      <c r="B510" s="5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4"/>
      <c r="AH510" s="29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</row>
    <row r="511" ht="15.75" customHeight="1">
      <c r="A511" s="28"/>
      <c r="B511" s="5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4"/>
      <c r="AH511" s="29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</row>
    <row r="512" ht="15.75" customHeight="1">
      <c r="A512" s="28"/>
      <c r="B512" s="5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4"/>
      <c r="AH512" s="29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</row>
    <row r="513" ht="15.75" customHeight="1">
      <c r="A513" s="28"/>
      <c r="B513" s="5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4"/>
      <c r="AH513" s="29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</row>
    <row r="514" ht="15.75" customHeight="1">
      <c r="A514" s="28"/>
      <c r="B514" s="5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4"/>
      <c r="AH514" s="29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</row>
    <row r="515" ht="15.75" customHeight="1">
      <c r="A515" s="28"/>
      <c r="B515" s="5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4"/>
      <c r="AH515" s="29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</row>
    <row r="516" ht="15.75" customHeight="1">
      <c r="A516" s="28"/>
      <c r="B516" s="5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4"/>
      <c r="AH516" s="29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</row>
    <row r="517" ht="15.75" customHeight="1">
      <c r="A517" s="28"/>
      <c r="B517" s="5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4"/>
      <c r="AH517" s="29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</row>
    <row r="518" ht="15.75" customHeight="1">
      <c r="A518" s="28"/>
      <c r="B518" s="5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4"/>
      <c r="AH518" s="29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</row>
    <row r="519" ht="15.75" customHeight="1">
      <c r="A519" s="28"/>
      <c r="B519" s="5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4"/>
      <c r="AH519" s="29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</row>
    <row r="520" ht="15.75" customHeight="1">
      <c r="A520" s="28"/>
      <c r="B520" s="5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4"/>
      <c r="AH520" s="29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</row>
    <row r="521" ht="15.75" customHeight="1">
      <c r="A521" s="28"/>
      <c r="B521" s="5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4"/>
      <c r="AH521" s="29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</row>
    <row r="522" ht="15.75" customHeight="1">
      <c r="A522" s="28"/>
      <c r="B522" s="5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4"/>
      <c r="AH522" s="29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</row>
    <row r="523" ht="15.75" customHeight="1">
      <c r="A523" s="28"/>
      <c r="B523" s="5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4"/>
      <c r="AH523" s="29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 ht="15.75" customHeight="1">
      <c r="A524" s="28"/>
      <c r="B524" s="5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4"/>
      <c r="AH524" s="29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</row>
    <row r="525" ht="15.75" customHeight="1">
      <c r="A525" s="28"/>
      <c r="B525" s="5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4"/>
      <c r="AH525" s="29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</row>
    <row r="526" ht="15.75" customHeight="1">
      <c r="A526" s="28"/>
      <c r="B526" s="5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4"/>
      <c r="AH526" s="29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</row>
    <row r="527" ht="15.75" customHeight="1">
      <c r="A527" s="28"/>
      <c r="B527" s="5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4"/>
      <c r="AH527" s="29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</row>
    <row r="528" ht="15.75" customHeight="1">
      <c r="A528" s="28"/>
      <c r="B528" s="5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4"/>
      <c r="AH528" s="29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</row>
    <row r="529" ht="15.75" customHeight="1">
      <c r="A529" s="28"/>
      <c r="B529" s="5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4"/>
      <c r="AH529" s="29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</row>
    <row r="530" ht="15.75" customHeight="1">
      <c r="A530" s="28"/>
      <c r="B530" s="5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4"/>
      <c r="AH530" s="29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</row>
    <row r="531" ht="15.75" customHeight="1">
      <c r="A531" s="28"/>
      <c r="B531" s="5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4"/>
      <c r="AH531" s="29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</row>
    <row r="532" ht="15.75" customHeight="1">
      <c r="A532" s="28"/>
      <c r="B532" s="5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4"/>
      <c r="AH532" s="29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</row>
    <row r="533" ht="15.75" customHeight="1">
      <c r="A533" s="28"/>
      <c r="B533" s="5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4"/>
      <c r="AH533" s="29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</row>
    <row r="534" ht="15.75" customHeight="1">
      <c r="A534" s="28"/>
      <c r="B534" s="5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4"/>
      <c r="AH534" s="29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</row>
    <row r="535" ht="15.75" customHeight="1">
      <c r="A535" s="28"/>
      <c r="B535" s="5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4"/>
      <c r="AH535" s="29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</row>
    <row r="536" ht="15.75" customHeight="1">
      <c r="A536" s="28"/>
      <c r="B536" s="5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4"/>
      <c r="AH536" s="29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</row>
    <row r="537" ht="15.75" customHeight="1">
      <c r="A537" s="28"/>
      <c r="B537" s="5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4"/>
      <c r="AH537" s="29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</row>
    <row r="538" ht="15.75" customHeight="1">
      <c r="A538" s="28"/>
      <c r="B538" s="5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4"/>
      <c r="AH538" s="29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</row>
    <row r="539" ht="15.75" customHeight="1">
      <c r="A539" s="28"/>
      <c r="B539" s="5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4"/>
      <c r="AH539" s="29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</row>
    <row r="540" ht="15.75" customHeight="1">
      <c r="A540" s="28"/>
      <c r="B540" s="5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4"/>
      <c r="AH540" s="29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</row>
    <row r="541" ht="15.75" customHeight="1">
      <c r="A541" s="28"/>
      <c r="B541" s="5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4"/>
      <c r="AH541" s="29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 ht="15.75" customHeight="1">
      <c r="A542" s="28"/>
      <c r="B542" s="5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4"/>
      <c r="AH542" s="29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</row>
    <row r="543" ht="15.75" customHeight="1">
      <c r="A543" s="28"/>
      <c r="B543" s="5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4"/>
      <c r="AH543" s="29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</row>
    <row r="544" ht="15.75" customHeight="1">
      <c r="A544" s="28"/>
      <c r="B544" s="5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4"/>
      <c r="AH544" s="29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</row>
    <row r="545" ht="15.75" customHeight="1">
      <c r="A545" s="28"/>
      <c r="B545" s="5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4"/>
      <c r="AH545" s="29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</row>
    <row r="546" ht="15.75" customHeight="1">
      <c r="A546" s="28"/>
      <c r="B546" s="5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4"/>
      <c r="AH546" s="29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</row>
    <row r="547" ht="15.75" customHeight="1">
      <c r="A547" s="28"/>
      <c r="B547" s="5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4"/>
      <c r="AH547" s="29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</row>
    <row r="548" ht="15.75" customHeight="1">
      <c r="A548" s="28"/>
      <c r="B548" s="5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4"/>
      <c r="AH548" s="29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</row>
    <row r="549" ht="15.75" customHeight="1">
      <c r="A549" s="28"/>
      <c r="B549" s="5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4"/>
      <c r="AH549" s="29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</row>
    <row r="550" ht="15.75" customHeight="1">
      <c r="A550" s="28"/>
      <c r="B550" s="5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4"/>
      <c r="AH550" s="29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</row>
    <row r="551" ht="15.75" customHeight="1">
      <c r="A551" s="28"/>
      <c r="B551" s="5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4"/>
      <c r="AH551" s="29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</row>
    <row r="552" ht="15.75" customHeight="1">
      <c r="A552" s="28"/>
      <c r="B552" s="5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4"/>
      <c r="AH552" s="29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</row>
    <row r="553" ht="15.75" customHeight="1">
      <c r="A553" s="28"/>
      <c r="B553" s="5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4"/>
      <c r="AH553" s="29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</row>
    <row r="554" ht="15.75" customHeight="1">
      <c r="A554" s="28"/>
      <c r="B554" s="5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4"/>
      <c r="AH554" s="29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</row>
    <row r="555" ht="15.75" customHeight="1">
      <c r="A555" s="28"/>
      <c r="B555" s="5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4"/>
      <c r="AH555" s="29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 ht="15.75" customHeight="1">
      <c r="A556" s="28"/>
      <c r="B556" s="5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4"/>
      <c r="AH556" s="29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</row>
    <row r="557" ht="15.75" customHeight="1">
      <c r="A557" s="28"/>
      <c r="B557" s="5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4"/>
      <c r="AH557" s="29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</row>
    <row r="558" ht="15.75" customHeight="1">
      <c r="A558" s="28"/>
      <c r="B558" s="5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4"/>
      <c r="AH558" s="29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 ht="15.75" customHeight="1">
      <c r="A559" s="28"/>
      <c r="B559" s="5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4"/>
      <c r="AH559" s="29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</row>
    <row r="560" ht="15.75" customHeight="1">
      <c r="A560" s="28"/>
      <c r="B560" s="5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4"/>
      <c r="AH560" s="29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</row>
    <row r="561" ht="15.75" customHeight="1">
      <c r="A561" s="28"/>
      <c r="B561" s="5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4"/>
      <c r="AH561" s="29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 ht="15.75" customHeight="1">
      <c r="A562" s="28"/>
      <c r="B562" s="5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4"/>
      <c r="AH562" s="29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 ht="15.75" customHeight="1">
      <c r="A563" s="28"/>
      <c r="B563" s="5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4"/>
      <c r="AH563" s="29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ht="15.75" customHeight="1">
      <c r="A564" s="28"/>
      <c r="B564" s="5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4"/>
      <c r="AH564" s="29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ht="15.75" customHeight="1">
      <c r="A565" s="28"/>
      <c r="B565" s="5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4"/>
      <c r="AH565" s="29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 ht="15.75" customHeight="1">
      <c r="A566" s="28"/>
      <c r="B566" s="5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4"/>
      <c r="AH566" s="29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 ht="15.75" customHeight="1">
      <c r="A567" s="28"/>
      <c r="B567" s="5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4"/>
      <c r="AH567" s="29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ht="15.75" customHeight="1">
      <c r="A568" s="28"/>
      <c r="B568" s="5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4"/>
      <c r="AH568" s="29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 ht="15.75" customHeight="1">
      <c r="A569" s="28"/>
      <c r="B569" s="5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4"/>
      <c r="AH569" s="29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</row>
    <row r="570" ht="15.75" customHeight="1">
      <c r="A570" s="28"/>
      <c r="B570" s="5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4"/>
      <c r="AH570" s="29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</row>
    <row r="571" ht="15.75" customHeight="1">
      <c r="A571" s="28"/>
      <c r="B571" s="5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4"/>
      <c r="AH571" s="29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 ht="15.75" customHeight="1">
      <c r="A572" s="28"/>
      <c r="B572" s="5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4"/>
      <c r="AH572" s="29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</row>
    <row r="573" ht="15.75" customHeight="1">
      <c r="A573" s="28"/>
      <c r="B573" s="5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4"/>
      <c r="AH573" s="29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</row>
    <row r="574" ht="15.75" customHeight="1">
      <c r="A574" s="28"/>
      <c r="B574" s="5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4"/>
      <c r="AH574" s="29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</row>
    <row r="575" ht="15.75" customHeight="1">
      <c r="A575" s="28"/>
      <c r="B575" s="5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4"/>
      <c r="AH575" s="29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</row>
    <row r="576" ht="15.75" customHeight="1">
      <c r="A576" s="28"/>
      <c r="B576" s="5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4"/>
      <c r="AH576" s="29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</row>
    <row r="577" ht="15.75" customHeight="1">
      <c r="A577" s="28"/>
      <c r="B577" s="5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4"/>
      <c r="AH577" s="29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 ht="15.75" customHeight="1">
      <c r="A578" s="28"/>
      <c r="B578" s="5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4"/>
      <c r="AH578" s="29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 ht="15.75" customHeight="1">
      <c r="A579" s="28"/>
      <c r="B579" s="5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4"/>
      <c r="AH579" s="29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 ht="15.75" customHeight="1">
      <c r="A580" s="28"/>
      <c r="B580" s="5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4"/>
      <c r="AH580" s="29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</row>
    <row r="581" ht="15.75" customHeight="1">
      <c r="A581" s="28"/>
      <c r="B581" s="5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4"/>
      <c r="AH581" s="29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</row>
    <row r="582" ht="15.75" customHeight="1">
      <c r="A582" s="28"/>
      <c r="B582" s="5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4"/>
      <c r="AH582" s="29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</row>
    <row r="583" ht="15.75" customHeight="1">
      <c r="A583" s="28"/>
      <c r="B583" s="5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4"/>
      <c r="AH583" s="29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</row>
    <row r="584" ht="15.75" customHeight="1">
      <c r="A584" s="28"/>
      <c r="B584" s="5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4"/>
      <c r="AH584" s="29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 ht="15.75" customHeight="1">
      <c r="A585" s="28"/>
      <c r="B585" s="5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4"/>
      <c r="AH585" s="29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ht="15.75" customHeight="1">
      <c r="A586" s="28"/>
      <c r="B586" s="5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4"/>
      <c r="AH586" s="29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</row>
    <row r="587" ht="15.75" customHeight="1">
      <c r="A587" s="28"/>
      <c r="B587" s="5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4"/>
      <c r="AH587" s="29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</row>
    <row r="588" ht="15.75" customHeight="1">
      <c r="A588" s="28"/>
      <c r="B588" s="5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4"/>
      <c r="AH588" s="29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</row>
    <row r="589" ht="15.75" customHeight="1">
      <c r="A589" s="28"/>
      <c r="B589" s="5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4"/>
      <c r="AH589" s="29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</row>
    <row r="590" ht="15.75" customHeight="1">
      <c r="A590" s="28"/>
      <c r="B590" s="5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4"/>
      <c r="AH590" s="29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</row>
    <row r="591" ht="15.75" customHeight="1">
      <c r="A591" s="28"/>
      <c r="B591" s="5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4"/>
      <c r="AH591" s="29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 ht="15.75" customHeight="1">
      <c r="A592" s="28"/>
      <c r="B592" s="5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4"/>
      <c r="AH592" s="29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</row>
    <row r="593" ht="15.75" customHeight="1">
      <c r="A593" s="28"/>
      <c r="B593" s="5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4"/>
      <c r="AH593" s="29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 ht="15.75" customHeight="1">
      <c r="A594" s="28"/>
      <c r="B594" s="5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4"/>
      <c r="AH594" s="29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 ht="15.75" customHeight="1">
      <c r="A595" s="28"/>
      <c r="B595" s="5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4"/>
      <c r="AH595" s="29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 ht="15.75" customHeight="1">
      <c r="A596" s="28"/>
      <c r="B596" s="5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4"/>
      <c r="AH596" s="29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 ht="15.75" customHeight="1">
      <c r="A597" s="28"/>
      <c r="B597" s="5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4"/>
      <c r="AH597" s="29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 ht="15.75" customHeight="1">
      <c r="A598" s="28"/>
      <c r="B598" s="5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4"/>
      <c r="AH598" s="29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 ht="15.75" customHeight="1">
      <c r="A599" s="28"/>
      <c r="B599" s="5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4"/>
      <c r="AH599" s="29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 ht="15.75" customHeight="1">
      <c r="A600" s="28"/>
      <c r="B600" s="5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4"/>
      <c r="AH600" s="29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</row>
    <row r="601" ht="15.75" customHeight="1">
      <c r="A601" s="28"/>
      <c r="B601" s="5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4"/>
      <c r="AH601" s="29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</row>
    <row r="602" ht="15.75" customHeight="1">
      <c r="A602" s="28"/>
      <c r="B602" s="5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4"/>
      <c r="AH602" s="29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 ht="15.75" customHeight="1">
      <c r="A603" s="28"/>
      <c r="B603" s="5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4"/>
      <c r="AH603" s="29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</row>
    <row r="604" ht="15.75" customHeight="1">
      <c r="A604" s="28"/>
      <c r="B604" s="5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4"/>
      <c r="AH604" s="29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</row>
    <row r="605" ht="15.75" customHeight="1">
      <c r="A605" s="28"/>
      <c r="B605" s="5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4"/>
      <c r="AH605" s="29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</row>
    <row r="606" ht="15.75" customHeight="1">
      <c r="A606" s="28"/>
      <c r="B606" s="5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4"/>
      <c r="AH606" s="29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</row>
    <row r="607" ht="15.75" customHeight="1">
      <c r="A607" s="28"/>
      <c r="B607" s="5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4"/>
      <c r="AH607" s="29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 ht="15.75" customHeight="1">
      <c r="A608" s="28"/>
      <c r="B608" s="5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4"/>
      <c r="AH608" s="29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ht="15.75" customHeight="1">
      <c r="A609" s="28"/>
      <c r="B609" s="5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4"/>
      <c r="AH609" s="29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 ht="15.75" customHeight="1">
      <c r="A610" s="28"/>
      <c r="B610" s="5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4"/>
      <c r="AH610" s="29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 ht="15.75" customHeight="1">
      <c r="A611" s="28"/>
      <c r="B611" s="5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4"/>
      <c r="AH611" s="29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 ht="15.75" customHeight="1">
      <c r="A612" s="28"/>
      <c r="B612" s="5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4"/>
      <c r="AH612" s="29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 ht="15.75" customHeight="1">
      <c r="A613" s="28"/>
      <c r="B613" s="5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4"/>
      <c r="AH613" s="29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</row>
    <row r="614" ht="15.75" customHeight="1">
      <c r="A614" s="28"/>
      <c r="B614" s="5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4"/>
      <c r="AH614" s="29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</row>
    <row r="615" ht="15.75" customHeight="1">
      <c r="A615" s="28"/>
      <c r="B615" s="5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4"/>
      <c r="AH615" s="29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 ht="15.75" customHeight="1">
      <c r="A616" s="28"/>
      <c r="B616" s="5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4"/>
      <c r="AH616" s="29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 ht="15.75" customHeight="1">
      <c r="A617" s="28"/>
      <c r="B617" s="5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4"/>
      <c r="AH617" s="29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 ht="15.75" customHeight="1">
      <c r="A618" s="28"/>
      <c r="B618" s="5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4"/>
      <c r="AH618" s="29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</row>
    <row r="619" ht="15.75" customHeight="1">
      <c r="A619" s="28"/>
      <c r="B619" s="5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4"/>
      <c r="AH619" s="29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</row>
    <row r="620" ht="15.75" customHeight="1">
      <c r="A620" s="28"/>
      <c r="B620" s="5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4"/>
      <c r="AH620" s="29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</row>
    <row r="621" ht="15.75" customHeight="1">
      <c r="A621" s="28"/>
      <c r="B621" s="5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4"/>
      <c r="AH621" s="29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</row>
    <row r="622" ht="15.75" customHeight="1">
      <c r="A622" s="28"/>
      <c r="B622" s="5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4"/>
      <c r="AH622" s="29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 ht="15.75" customHeight="1">
      <c r="A623" s="28"/>
      <c r="B623" s="5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4"/>
      <c r="AH623" s="29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</row>
    <row r="624" ht="15.75" customHeight="1">
      <c r="A624" s="28"/>
      <c r="B624" s="5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4"/>
      <c r="AH624" s="29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 ht="15.75" customHeight="1">
      <c r="A625" s="28"/>
      <c r="B625" s="5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4"/>
      <c r="AH625" s="29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 ht="15.75" customHeight="1">
      <c r="A626" s="28"/>
      <c r="B626" s="5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4"/>
      <c r="AH626" s="29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 ht="15.75" customHeight="1">
      <c r="A627" s="28"/>
      <c r="B627" s="5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4"/>
      <c r="AH627" s="29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 ht="15.75" customHeight="1">
      <c r="A628" s="28"/>
      <c r="B628" s="5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4"/>
      <c r="AH628" s="29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 ht="15.75" customHeight="1">
      <c r="A629" s="28"/>
      <c r="B629" s="5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4"/>
      <c r="AH629" s="29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ht="15.75" customHeight="1">
      <c r="A630" s="28"/>
      <c r="B630" s="5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4"/>
      <c r="AH630" s="29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 ht="15.75" customHeight="1">
      <c r="A631" s="28"/>
      <c r="B631" s="5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4"/>
      <c r="AH631" s="29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 ht="15.75" customHeight="1">
      <c r="A632" s="28"/>
      <c r="B632" s="5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4"/>
      <c r="AH632" s="29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 ht="15.75" customHeight="1">
      <c r="A633" s="28"/>
      <c r="B633" s="5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4"/>
      <c r="AH633" s="29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 ht="15.75" customHeight="1">
      <c r="A634" s="28"/>
      <c r="B634" s="5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4"/>
      <c r="AH634" s="29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 ht="15.75" customHeight="1">
      <c r="A635" s="28"/>
      <c r="B635" s="5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4"/>
      <c r="AH635" s="29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</row>
    <row r="636" ht="15.75" customHeight="1">
      <c r="A636" s="28"/>
      <c r="B636" s="5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4"/>
      <c r="AH636" s="29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</row>
    <row r="637" ht="15.75" customHeight="1">
      <c r="A637" s="28"/>
      <c r="B637" s="5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4"/>
      <c r="AH637" s="29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</row>
    <row r="638" ht="15.75" customHeight="1">
      <c r="A638" s="28"/>
      <c r="B638" s="5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4"/>
      <c r="AH638" s="29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</row>
    <row r="639" ht="15.75" customHeight="1">
      <c r="A639" s="28"/>
      <c r="B639" s="5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4"/>
      <c r="AH639" s="29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 ht="15.75" customHeight="1">
      <c r="A640" s="28"/>
      <c r="B640" s="5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4"/>
      <c r="AH640" s="29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 ht="15.75" customHeight="1">
      <c r="A641" s="28"/>
      <c r="B641" s="5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4"/>
      <c r="AH641" s="29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 ht="15.75" customHeight="1">
      <c r="A642" s="28"/>
      <c r="B642" s="5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4"/>
      <c r="AH642" s="29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 ht="15.75" customHeight="1">
      <c r="A643" s="28"/>
      <c r="B643" s="5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4"/>
      <c r="AH643" s="29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 ht="15.75" customHeight="1">
      <c r="A644" s="28"/>
      <c r="B644" s="5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4"/>
      <c r="AH644" s="29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</row>
    <row r="645" ht="15.75" customHeight="1">
      <c r="A645" s="28"/>
      <c r="B645" s="5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4"/>
      <c r="AH645" s="29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 ht="15.75" customHeight="1">
      <c r="A646" s="28"/>
      <c r="B646" s="5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4"/>
      <c r="AH646" s="29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</row>
    <row r="647" ht="15.75" customHeight="1">
      <c r="A647" s="28"/>
      <c r="B647" s="5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4"/>
      <c r="AH647" s="29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 ht="15.75" customHeight="1">
      <c r="A648" s="28"/>
      <c r="B648" s="5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4"/>
      <c r="AH648" s="29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 ht="15.75" customHeight="1">
      <c r="A649" s="28"/>
      <c r="B649" s="5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4"/>
      <c r="AH649" s="29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</row>
    <row r="650" ht="15.75" customHeight="1">
      <c r="A650" s="28"/>
      <c r="B650" s="5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4"/>
      <c r="AH650" s="29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</row>
    <row r="651" ht="15.75" customHeight="1">
      <c r="A651" s="28"/>
      <c r="B651" s="5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4"/>
      <c r="AH651" s="29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ht="15.75" customHeight="1">
      <c r="A652" s="28"/>
      <c r="B652" s="5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4"/>
      <c r="AH652" s="29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 ht="15.75" customHeight="1">
      <c r="A653" s="28"/>
      <c r="B653" s="5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4"/>
      <c r="AH653" s="29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 ht="15.75" customHeight="1">
      <c r="A654" s="28"/>
      <c r="B654" s="5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4"/>
      <c r="AH654" s="29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 ht="15.75" customHeight="1">
      <c r="A655" s="28"/>
      <c r="B655" s="5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4"/>
      <c r="AH655" s="29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ht="15.75" customHeight="1">
      <c r="A656" s="28"/>
      <c r="B656" s="5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4"/>
      <c r="AH656" s="29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ht="15.75" customHeight="1">
      <c r="A657" s="28"/>
      <c r="B657" s="5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4"/>
      <c r="AH657" s="29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 ht="15.75" customHeight="1">
      <c r="A658" s="28"/>
      <c r="B658" s="5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4"/>
      <c r="AH658" s="29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 ht="15.75" customHeight="1">
      <c r="A659" s="28"/>
      <c r="B659" s="5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4"/>
      <c r="AH659" s="29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 ht="15.75" customHeight="1">
      <c r="A660" s="28"/>
      <c r="B660" s="5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4"/>
      <c r="AH660" s="29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 ht="15.75" customHeight="1">
      <c r="A661" s="28"/>
      <c r="B661" s="5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4"/>
      <c r="AH661" s="29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 ht="15.75" customHeight="1">
      <c r="A662" s="28"/>
      <c r="B662" s="5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4"/>
      <c r="AH662" s="29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 ht="15.75" customHeight="1">
      <c r="A663" s="28"/>
      <c r="B663" s="5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4"/>
      <c r="AH663" s="29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 ht="15.75" customHeight="1">
      <c r="A664" s="28"/>
      <c r="B664" s="5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4"/>
      <c r="AH664" s="29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 ht="15.75" customHeight="1">
      <c r="A665" s="28"/>
      <c r="B665" s="5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4"/>
      <c r="AH665" s="29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</row>
    <row r="666" ht="15.75" customHeight="1">
      <c r="A666" s="28"/>
      <c r="B666" s="5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4"/>
      <c r="AH666" s="29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</row>
    <row r="667" ht="15.75" customHeight="1">
      <c r="A667" s="28"/>
      <c r="B667" s="5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4"/>
      <c r="AH667" s="29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</row>
    <row r="668" ht="15.75" customHeight="1">
      <c r="A668" s="28"/>
      <c r="B668" s="5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4"/>
      <c r="AH668" s="29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 ht="15.75" customHeight="1">
      <c r="A669" s="28"/>
      <c r="B669" s="5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4"/>
      <c r="AH669" s="29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 ht="15.75" customHeight="1">
      <c r="A670" s="28"/>
      <c r="B670" s="5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4"/>
      <c r="AH670" s="29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</row>
    <row r="671" ht="15.75" customHeight="1">
      <c r="A671" s="28"/>
      <c r="B671" s="5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4"/>
      <c r="AH671" s="29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</row>
    <row r="672" ht="15.75" customHeight="1">
      <c r="A672" s="28"/>
      <c r="B672" s="5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4"/>
      <c r="AH672" s="29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</row>
    <row r="673" ht="15.75" customHeight="1">
      <c r="A673" s="28"/>
      <c r="B673" s="5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4"/>
      <c r="AH673" s="29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 ht="15.75" customHeight="1">
      <c r="A674" s="28"/>
      <c r="B674" s="5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4"/>
      <c r="AH674" s="29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</row>
    <row r="675" ht="15.75" customHeight="1">
      <c r="A675" s="28"/>
      <c r="B675" s="5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4"/>
      <c r="AH675" s="29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</row>
    <row r="676" ht="15.75" customHeight="1">
      <c r="A676" s="28"/>
      <c r="B676" s="5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4"/>
      <c r="AH676" s="29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</row>
    <row r="677" ht="15.75" customHeight="1">
      <c r="A677" s="28"/>
      <c r="B677" s="5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4"/>
      <c r="AH677" s="29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</row>
    <row r="678" ht="15.75" customHeight="1">
      <c r="A678" s="28"/>
      <c r="B678" s="5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4"/>
      <c r="AH678" s="29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</row>
    <row r="679" ht="15.75" customHeight="1">
      <c r="A679" s="28"/>
      <c r="B679" s="5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4"/>
      <c r="AH679" s="29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</row>
    <row r="680" ht="15.75" customHeight="1">
      <c r="A680" s="28"/>
      <c r="B680" s="5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4"/>
      <c r="AH680" s="29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</row>
    <row r="681" ht="15.75" customHeight="1">
      <c r="A681" s="28"/>
      <c r="B681" s="5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4"/>
      <c r="AH681" s="29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</row>
    <row r="682" ht="15.75" customHeight="1">
      <c r="A682" s="28"/>
      <c r="B682" s="5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4"/>
      <c r="AH682" s="29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</row>
    <row r="683" ht="15.75" customHeight="1">
      <c r="A683" s="28"/>
      <c r="B683" s="5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4"/>
      <c r="AH683" s="29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</row>
    <row r="684" ht="15.75" customHeight="1">
      <c r="A684" s="28"/>
      <c r="B684" s="5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4"/>
      <c r="AH684" s="29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</row>
    <row r="685" ht="15.75" customHeight="1">
      <c r="A685" s="28"/>
      <c r="B685" s="5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4"/>
      <c r="AH685" s="29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</row>
    <row r="686" ht="15.75" customHeight="1">
      <c r="A686" s="28"/>
      <c r="B686" s="5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4"/>
      <c r="AH686" s="29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</row>
    <row r="687" ht="15.75" customHeight="1">
      <c r="A687" s="28"/>
      <c r="B687" s="5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4"/>
      <c r="AH687" s="29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 ht="15.75" customHeight="1">
      <c r="A688" s="28"/>
      <c r="B688" s="5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4"/>
      <c r="AH688" s="29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</row>
    <row r="689" ht="15.75" customHeight="1">
      <c r="A689" s="28"/>
      <c r="B689" s="5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4"/>
      <c r="AH689" s="29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</row>
    <row r="690" ht="15.75" customHeight="1">
      <c r="A690" s="28"/>
      <c r="B690" s="5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4"/>
      <c r="AH690" s="29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</row>
    <row r="691" ht="15.75" customHeight="1">
      <c r="A691" s="28"/>
      <c r="B691" s="5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4"/>
      <c r="AH691" s="29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</row>
    <row r="692" ht="15.75" customHeight="1">
      <c r="A692" s="28"/>
      <c r="B692" s="5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4"/>
      <c r="AH692" s="29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</row>
    <row r="693" ht="15.75" customHeight="1">
      <c r="A693" s="28"/>
      <c r="B693" s="5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4"/>
      <c r="AH693" s="29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</row>
    <row r="694" ht="15.75" customHeight="1">
      <c r="A694" s="28"/>
      <c r="B694" s="5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4"/>
      <c r="AH694" s="29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</row>
    <row r="695" ht="15.75" customHeight="1">
      <c r="A695" s="28"/>
      <c r="B695" s="5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4"/>
      <c r="AH695" s="29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</row>
    <row r="696" ht="15.75" customHeight="1">
      <c r="A696" s="28"/>
      <c r="B696" s="5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4"/>
      <c r="AH696" s="29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</row>
    <row r="697" ht="15.75" customHeight="1">
      <c r="A697" s="28"/>
      <c r="B697" s="5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4"/>
      <c r="AH697" s="29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</row>
    <row r="698" ht="15.75" customHeight="1">
      <c r="A698" s="28"/>
      <c r="B698" s="5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4"/>
      <c r="AH698" s="29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</row>
    <row r="699" ht="15.75" customHeight="1">
      <c r="A699" s="28"/>
      <c r="B699" s="5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4"/>
      <c r="AH699" s="29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</row>
    <row r="700" ht="15.75" customHeight="1">
      <c r="A700" s="28"/>
      <c r="B700" s="5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4"/>
      <c r="AH700" s="29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</row>
    <row r="701" ht="15.75" customHeight="1">
      <c r="A701" s="28"/>
      <c r="B701" s="5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4"/>
      <c r="AH701" s="29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</row>
    <row r="702" ht="15.75" customHeight="1">
      <c r="A702" s="28"/>
      <c r="B702" s="5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4"/>
      <c r="AH702" s="29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</row>
    <row r="703" ht="15.75" customHeight="1">
      <c r="A703" s="28"/>
      <c r="B703" s="5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4"/>
      <c r="AH703" s="29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</row>
    <row r="704" ht="15.75" customHeight="1">
      <c r="A704" s="28"/>
      <c r="B704" s="5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4"/>
      <c r="AH704" s="29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</row>
    <row r="705" ht="15.75" customHeight="1">
      <c r="A705" s="28"/>
      <c r="B705" s="5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4"/>
      <c r="AH705" s="29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</row>
    <row r="706" ht="15.75" customHeight="1">
      <c r="A706" s="28"/>
      <c r="B706" s="5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4"/>
      <c r="AH706" s="29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</row>
    <row r="707" ht="15.75" customHeight="1">
      <c r="A707" s="28"/>
      <c r="B707" s="5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4"/>
      <c r="AH707" s="29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</row>
    <row r="708" ht="15.75" customHeight="1">
      <c r="A708" s="28"/>
      <c r="B708" s="5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4"/>
      <c r="AH708" s="29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</row>
    <row r="709" ht="15.75" customHeight="1">
      <c r="A709" s="28"/>
      <c r="B709" s="5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4"/>
      <c r="AH709" s="29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</row>
    <row r="710" ht="15.75" customHeight="1">
      <c r="A710" s="28"/>
      <c r="B710" s="5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4"/>
      <c r="AH710" s="29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</row>
    <row r="711" ht="15.75" customHeight="1">
      <c r="A711" s="28"/>
      <c r="B711" s="5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4"/>
      <c r="AH711" s="29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</row>
    <row r="712" ht="15.75" customHeight="1">
      <c r="A712" s="28"/>
      <c r="B712" s="5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4"/>
      <c r="AH712" s="29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</row>
    <row r="713" ht="15.75" customHeight="1">
      <c r="A713" s="28"/>
      <c r="B713" s="5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4"/>
      <c r="AH713" s="29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</row>
    <row r="714" ht="15.75" customHeight="1">
      <c r="A714" s="28"/>
      <c r="B714" s="5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4"/>
      <c r="AH714" s="29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</row>
    <row r="715" ht="15.75" customHeight="1">
      <c r="A715" s="28"/>
      <c r="B715" s="5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4"/>
      <c r="AH715" s="29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</row>
    <row r="716" ht="15.75" customHeight="1">
      <c r="A716" s="28"/>
      <c r="B716" s="5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4"/>
      <c r="AH716" s="29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</row>
    <row r="717" ht="15.75" customHeight="1">
      <c r="A717" s="28"/>
      <c r="B717" s="5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4"/>
      <c r="AH717" s="29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 ht="15.75" customHeight="1">
      <c r="A718" s="28"/>
      <c r="B718" s="5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4"/>
      <c r="AH718" s="29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</row>
    <row r="719" ht="15.75" customHeight="1">
      <c r="A719" s="28"/>
      <c r="B719" s="5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4"/>
      <c r="AH719" s="29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</row>
    <row r="720" ht="15.75" customHeight="1">
      <c r="A720" s="28"/>
      <c r="B720" s="5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4"/>
      <c r="AH720" s="29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</row>
    <row r="721" ht="15.75" customHeight="1">
      <c r="A721" s="28"/>
      <c r="B721" s="5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4"/>
      <c r="AH721" s="29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</row>
    <row r="722" ht="15.75" customHeight="1">
      <c r="A722" s="28"/>
      <c r="B722" s="5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4"/>
      <c r="AH722" s="29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</row>
    <row r="723" ht="15.75" customHeight="1">
      <c r="A723" s="28"/>
      <c r="B723" s="5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4"/>
      <c r="AH723" s="29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</row>
    <row r="724" ht="15.75" customHeight="1">
      <c r="A724" s="28"/>
      <c r="B724" s="5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4"/>
      <c r="AH724" s="29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</row>
    <row r="725" ht="15.75" customHeight="1">
      <c r="A725" s="28"/>
      <c r="B725" s="5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4"/>
      <c r="AH725" s="29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</row>
    <row r="726" ht="15.75" customHeight="1">
      <c r="A726" s="28"/>
      <c r="B726" s="5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4"/>
      <c r="AH726" s="29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</row>
    <row r="727" ht="15.75" customHeight="1">
      <c r="A727" s="28"/>
      <c r="B727" s="5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4"/>
      <c r="AH727" s="29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</row>
    <row r="728" ht="15.75" customHeight="1">
      <c r="A728" s="28"/>
      <c r="B728" s="5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4"/>
      <c r="AH728" s="29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</row>
    <row r="729" ht="15.75" customHeight="1">
      <c r="A729" s="28"/>
      <c r="B729" s="5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4"/>
      <c r="AH729" s="29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</row>
    <row r="730" ht="15.75" customHeight="1">
      <c r="A730" s="28"/>
      <c r="B730" s="5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4"/>
      <c r="AH730" s="29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</row>
    <row r="731" ht="15.75" customHeight="1">
      <c r="A731" s="28"/>
      <c r="B731" s="5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4"/>
      <c r="AH731" s="29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 ht="15.75" customHeight="1">
      <c r="A732" s="28"/>
      <c r="B732" s="5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4"/>
      <c r="AH732" s="29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</row>
    <row r="733" ht="15.75" customHeight="1">
      <c r="A733" s="28"/>
      <c r="B733" s="5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4"/>
      <c r="AH733" s="29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</row>
    <row r="734" ht="15.75" customHeight="1">
      <c r="A734" s="28"/>
      <c r="B734" s="5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4"/>
      <c r="AH734" s="29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</row>
    <row r="735" ht="15.75" customHeight="1">
      <c r="A735" s="28"/>
      <c r="B735" s="5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4"/>
      <c r="AH735" s="29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 ht="15.75" customHeight="1">
      <c r="A736" s="28"/>
      <c r="B736" s="5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4"/>
      <c r="AH736" s="29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 ht="15.75" customHeight="1">
      <c r="A737" s="28"/>
      <c r="B737" s="5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4"/>
      <c r="AH737" s="29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 ht="15.75" customHeight="1">
      <c r="A738" s="28"/>
      <c r="B738" s="5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4"/>
      <c r="AH738" s="29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 ht="15.75" customHeight="1">
      <c r="A739" s="28"/>
      <c r="B739" s="5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4"/>
      <c r="AH739" s="29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 ht="15.75" customHeight="1">
      <c r="A740" s="28"/>
      <c r="B740" s="5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4"/>
      <c r="AH740" s="29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 ht="15.75" customHeight="1">
      <c r="A741" s="28"/>
      <c r="B741" s="5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4"/>
      <c r="AH741" s="29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 ht="15.75" customHeight="1">
      <c r="A742" s="28"/>
      <c r="B742" s="5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4"/>
      <c r="AH742" s="29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 ht="15.75" customHeight="1">
      <c r="A743" s="28"/>
      <c r="B743" s="5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4"/>
      <c r="AH743" s="29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 ht="15.75" customHeight="1">
      <c r="A744" s="28"/>
      <c r="B744" s="5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4"/>
      <c r="AH744" s="29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 ht="15.75" customHeight="1">
      <c r="A745" s="28"/>
      <c r="B745" s="5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4"/>
      <c r="AH745" s="29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 ht="15.75" customHeight="1">
      <c r="A746" s="28"/>
      <c r="B746" s="5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4"/>
      <c r="AH746" s="29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 ht="15.75" customHeight="1">
      <c r="A747" s="28"/>
      <c r="B747" s="5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4"/>
      <c r="AH747" s="29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 ht="15.75" customHeight="1">
      <c r="A748" s="28"/>
      <c r="B748" s="5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4"/>
      <c r="AH748" s="29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 ht="15.75" customHeight="1">
      <c r="A749" s="28"/>
      <c r="B749" s="5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4"/>
      <c r="AH749" s="29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 ht="15.75" customHeight="1">
      <c r="A750" s="28"/>
      <c r="B750" s="5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4"/>
      <c r="AH750" s="29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 ht="15.75" customHeight="1">
      <c r="A751" s="28"/>
      <c r="B751" s="5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4"/>
      <c r="AH751" s="29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 ht="15.75" customHeight="1">
      <c r="A752" s="28"/>
      <c r="B752" s="5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4"/>
      <c r="AH752" s="29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 ht="15.75" customHeight="1">
      <c r="A753" s="28"/>
      <c r="B753" s="5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4"/>
      <c r="AH753" s="29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 ht="15.75" customHeight="1">
      <c r="A754" s="28"/>
      <c r="B754" s="5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4"/>
      <c r="AH754" s="29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 ht="15.75" customHeight="1">
      <c r="A755" s="28"/>
      <c r="B755" s="5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4"/>
      <c r="AH755" s="29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 ht="15.75" customHeight="1">
      <c r="A756" s="28"/>
      <c r="B756" s="5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4"/>
      <c r="AH756" s="29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 ht="15.75" customHeight="1">
      <c r="A757" s="28"/>
      <c r="B757" s="5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4"/>
      <c r="AH757" s="29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</row>
    <row r="758" ht="15.75" customHeight="1">
      <c r="A758" s="28"/>
      <c r="B758" s="5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4"/>
      <c r="AH758" s="29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 ht="15.75" customHeight="1">
      <c r="A759" s="28"/>
      <c r="B759" s="5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4"/>
      <c r="AH759" s="29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 ht="15.75" customHeight="1">
      <c r="A760" s="28"/>
      <c r="B760" s="5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4"/>
      <c r="AH760" s="29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</row>
    <row r="761" ht="15.75" customHeight="1">
      <c r="A761" s="28"/>
      <c r="B761" s="5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4"/>
      <c r="AH761" s="29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 ht="15.75" customHeight="1">
      <c r="A762" s="28"/>
      <c r="B762" s="5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4"/>
      <c r="AH762" s="29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 ht="15.75" customHeight="1">
      <c r="A763" s="28"/>
      <c r="B763" s="5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4"/>
      <c r="AH763" s="29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 ht="15.75" customHeight="1">
      <c r="A764" s="28"/>
      <c r="B764" s="5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4"/>
      <c r="AH764" s="29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 ht="15.75" customHeight="1">
      <c r="A765" s="28"/>
      <c r="B765" s="5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4"/>
      <c r="AH765" s="29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 ht="15.75" customHeight="1">
      <c r="A766" s="28"/>
      <c r="B766" s="5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4"/>
      <c r="AH766" s="29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</row>
    <row r="767" ht="15.75" customHeight="1">
      <c r="A767" s="28"/>
      <c r="B767" s="5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4"/>
      <c r="AH767" s="29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 ht="15.75" customHeight="1">
      <c r="A768" s="28"/>
      <c r="B768" s="5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4"/>
      <c r="AH768" s="29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 ht="15.75" customHeight="1">
      <c r="A769" s="28"/>
      <c r="B769" s="5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4"/>
      <c r="AH769" s="29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</row>
    <row r="770" ht="15.75" customHeight="1">
      <c r="A770" s="28"/>
      <c r="B770" s="5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4"/>
      <c r="AH770" s="29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</row>
    <row r="771" ht="15.75" customHeight="1">
      <c r="A771" s="28"/>
      <c r="B771" s="5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4"/>
      <c r="AH771" s="29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 ht="15.75" customHeight="1">
      <c r="A772" s="28"/>
      <c r="B772" s="5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4"/>
      <c r="AH772" s="29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 ht="15.75" customHeight="1">
      <c r="A773" s="28"/>
      <c r="B773" s="5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4"/>
      <c r="AH773" s="29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</row>
    <row r="774" ht="15.75" customHeight="1">
      <c r="A774" s="28"/>
      <c r="B774" s="5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4"/>
      <c r="AH774" s="29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 ht="15.75" customHeight="1">
      <c r="A775" s="28"/>
      <c r="B775" s="5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4"/>
      <c r="AH775" s="29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 ht="15.75" customHeight="1">
      <c r="A776" s="28"/>
      <c r="B776" s="5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4"/>
      <c r="AH776" s="29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</row>
    <row r="777" ht="15.75" customHeight="1">
      <c r="A777" s="28"/>
      <c r="B777" s="5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4"/>
      <c r="AH777" s="29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 ht="15.75" customHeight="1">
      <c r="A778" s="28"/>
      <c r="B778" s="5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4"/>
      <c r="AH778" s="29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 ht="15.75" customHeight="1">
      <c r="A779" s="28"/>
      <c r="B779" s="5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4"/>
      <c r="AH779" s="29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 ht="15.75" customHeight="1">
      <c r="A780" s="28"/>
      <c r="B780" s="5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4"/>
      <c r="AH780" s="29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 ht="15.75" customHeight="1">
      <c r="A781" s="28"/>
      <c r="B781" s="5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4"/>
      <c r="AH781" s="29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 ht="15.75" customHeight="1">
      <c r="A782" s="28"/>
      <c r="B782" s="5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4"/>
      <c r="AH782" s="29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 ht="15.75" customHeight="1">
      <c r="A783" s="28"/>
      <c r="B783" s="5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4"/>
      <c r="AH783" s="29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 ht="15.75" customHeight="1">
      <c r="A784" s="28"/>
      <c r="B784" s="5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4"/>
      <c r="AH784" s="29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 ht="15.75" customHeight="1">
      <c r="A785" s="28"/>
      <c r="B785" s="5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4"/>
      <c r="AH785" s="29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 ht="15.75" customHeight="1">
      <c r="A786" s="28"/>
      <c r="B786" s="5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4"/>
      <c r="AH786" s="29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 ht="15.75" customHeight="1">
      <c r="A787" s="28"/>
      <c r="B787" s="5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4"/>
      <c r="AH787" s="29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 ht="15.75" customHeight="1">
      <c r="A788" s="28"/>
      <c r="B788" s="5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4"/>
      <c r="AH788" s="29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 ht="15.75" customHeight="1">
      <c r="A789" s="28"/>
      <c r="B789" s="5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4"/>
      <c r="AH789" s="29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 ht="15.75" customHeight="1">
      <c r="A790" s="28"/>
      <c r="B790" s="5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4"/>
      <c r="AH790" s="29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 ht="15.75" customHeight="1">
      <c r="A791" s="28"/>
      <c r="B791" s="5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4"/>
      <c r="AH791" s="29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 ht="15.75" customHeight="1">
      <c r="A792" s="28"/>
      <c r="B792" s="5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4"/>
      <c r="AH792" s="29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 ht="15.75" customHeight="1">
      <c r="A793" s="28"/>
      <c r="B793" s="5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4"/>
      <c r="AH793" s="29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 ht="15.75" customHeight="1">
      <c r="A794" s="28"/>
      <c r="B794" s="5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4"/>
      <c r="AH794" s="29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 ht="15.75" customHeight="1">
      <c r="A795" s="28"/>
      <c r="B795" s="5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4"/>
      <c r="AH795" s="29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 ht="15.75" customHeight="1">
      <c r="A796" s="28"/>
      <c r="B796" s="5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4"/>
      <c r="AH796" s="29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 ht="15.75" customHeight="1">
      <c r="A797" s="28"/>
      <c r="B797" s="5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4"/>
      <c r="AH797" s="29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 ht="15.75" customHeight="1">
      <c r="A798" s="28"/>
      <c r="B798" s="5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4"/>
      <c r="AH798" s="29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 ht="15.75" customHeight="1">
      <c r="A799" s="28"/>
      <c r="B799" s="5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4"/>
      <c r="AH799" s="29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 ht="15.75" customHeight="1">
      <c r="A800" s="28"/>
      <c r="B800" s="5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4"/>
      <c r="AH800" s="29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 ht="15.75" customHeight="1">
      <c r="A801" s="28"/>
      <c r="B801" s="5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4"/>
      <c r="AH801" s="29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 ht="15.75" customHeight="1">
      <c r="A802" s="28"/>
      <c r="B802" s="5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4"/>
      <c r="AH802" s="29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 ht="15.75" customHeight="1">
      <c r="A803" s="28"/>
      <c r="B803" s="5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4"/>
      <c r="AH803" s="29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 ht="15.75" customHeight="1">
      <c r="A804" s="28"/>
      <c r="B804" s="5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4"/>
      <c r="AH804" s="29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 ht="15.75" customHeight="1">
      <c r="A805" s="28"/>
      <c r="B805" s="5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4"/>
      <c r="AH805" s="29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 ht="15.75" customHeight="1">
      <c r="A806" s="28"/>
      <c r="B806" s="5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4"/>
      <c r="AH806" s="29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 ht="15.75" customHeight="1">
      <c r="A807" s="28"/>
      <c r="B807" s="5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4"/>
      <c r="AH807" s="29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 ht="15.75" customHeight="1">
      <c r="A808" s="28"/>
      <c r="B808" s="5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4"/>
      <c r="AH808" s="29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 ht="15.75" customHeight="1">
      <c r="A809" s="28"/>
      <c r="B809" s="5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4"/>
      <c r="AH809" s="29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 ht="15.75" customHeight="1">
      <c r="A810" s="28"/>
      <c r="B810" s="5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4"/>
      <c r="AH810" s="29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 ht="15.75" customHeight="1">
      <c r="A811" s="28"/>
      <c r="B811" s="5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4"/>
      <c r="AH811" s="29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 ht="15.75" customHeight="1">
      <c r="A812" s="28"/>
      <c r="B812" s="5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4"/>
      <c r="AH812" s="29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 ht="15.75" customHeight="1">
      <c r="A813" s="28"/>
      <c r="B813" s="5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4"/>
      <c r="AH813" s="29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 ht="15.75" customHeight="1">
      <c r="A814" s="28"/>
      <c r="B814" s="5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4"/>
      <c r="AH814" s="29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 ht="15.75" customHeight="1">
      <c r="A815" s="28"/>
      <c r="B815" s="5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4"/>
      <c r="AH815" s="29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 ht="15.75" customHeight="1">
      <c r="A816" s="28"/>
      <c r="B816" s="5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4"/>
      <c r="AH816" s="29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</row>
    <row r="817" ht="15.75" customHeight="1">
      <c r="A817" s="28"/>
      <c r="B817" s="5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4"/>
      <c r="AH817" s="29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</row>
    <row r="818" ht="15.75" customHeight="1">
      <c r="A818" s="28"/>
      <c r="B818" s="5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4"/>
      <c r="AH818" s="29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</row>
    <row r="819" ht="15.75" customHeight="1">
      <c r="A819" s="28"/>
      <c r="B819" s="5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4"/>
      <c r="AH819" s="29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 ht="15.75" customHeight="1">
      <c r="A820" s="28"/>
      <c r="B820" s="5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4"/>
      <c r="AH820" s="29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 ht="15.75" customHeight="1">
      <c r="A821" s="28"/>
      <c r="B821" s="5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4"/>
      <c r="AH821" s="29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</row>
    <row r="822" ht="15.75" customHeight="1">
      <c r="A822" s="28"/>
      <c r="B822" s="5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4"/>
      <c r="AH822" s="29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</row>
    <row r="823" ht="15.75" customHeight="1">
      <c r="A823" s="28"/>
      <c r="B823" s="5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4"/>
      <c r="AH823" s="29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</row>
    <row r="824" ht="15.75" customHeight="1">
      <c r="A824" s="28"/>
      <c r="B824" s="5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4"/>
      <c r="AH824" s="29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</row>
    <row r="825" ht="15.75" customHeight="1">
      <c r="A825" s="28"/>
      <c r="B825" s="5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4"/>
      <c r="AH825" s="29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</row>
    <row r="826" ht="15.75" customHeight="1">
      <c r="A826" s="28"/>
      <c r="B826" s="5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4"/>
      <c r="AH826" s="29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 ht="15.75" customHeight="1">
      <c r="A827" s="28"/>
      <c r="B827" s="5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4"/>
      <c r="AH827" s="29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 ht="15.75" customHeight="1">
      <c r="A828" s="28"/>
      <c r="B828" s="5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4"/>
      <c r="AH828" s="29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 ht="15.75" customHeight="1">
      <c r="A829" s="28"/>
      <c r="B829" s="5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4"/>
      <c r="AH829" s="29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</row>
    <row r="830" ht="15.75" customHeight="1">
      <c r="A830" s="28"/>
      <c r="B830" s="5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4"/>
      <c r="AH830" s="29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</row>
    <row r="831" ht="15.75" customHeight="1">
      <c r="A831" s="28"/>
      <c r="B831" s="5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4"/>
      <c r="AH831" s="29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 ht="15.75" customHeight="1">
      <c r="A832" s="28"/>
      <c r="B832" s="5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4"/>
      <c r="AH832" s="29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 ht="15.75" customHeight="1">
      <c r="A833" s="28"/>
      <c r="B833" s="5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4"/>
      <c r="AH833" s="29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</row>
    <row r="834" ht="15.75" customHeight="1">
      <c r="A834" s="28"/>
      <c r="B834" s="5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4"/>
      <c r="AH834" s="29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 ht="15.75" customHeight="1">
      <c r="A835" s="28"/>
      <c r="B835" s="5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4"/>
      <c r="AH835" s="29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</row>
    <row r="836" ht="15.75" customHeight="1">
      <c r="A836" s="28"/>
      <c r="B836" s="5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4"/>
      <c r="AH836" s="29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</row>
    <row r="837" ht="15.75" customHeight="1">
      <c r="A837" s="28"/>
      <c r="B837" s="5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4"/>
      <c r="AH837" s="29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</row>
    <row r="838" ht="15.75" customHeight="1">
      <c r="A838" s="28"/>
      <c r="B838" s="5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4"/>
      <c r="AH838" s="29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</row>
    <row r="839" ht="15.75" customHeight="1">
      <c r="A839" s="28"/>
      <c r="B839" s="5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4"/>
      <c r="AH839" s="29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</row>
    <row r="840" ht="15.75" customHeight="1">
      <c r="A840" s="28"/>
      <c r="B840" s="5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4"/>
      <c r="AH840" s="29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</row>
    <row r="841" ht="15.75" customHeight="1">
      <c r="A841" s="28"/>
      <c r="B841" s="5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4"/>
      <c r="AH841" s="29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 ht="15.75" customHeight="1">
      <c r="A842" s="28"/>
      <c r="B842" s="5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4"/>
      <c r="AH842" s="29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 ht="15.75" customHeight="1">
      <c r="A843" s="28"/>
      <c r="B843" s="5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4"/>
      <c r="AH843" s="29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 ht="15.75" customHeight="1">
      <c r="A844" s="28"/>
      <c r="B844" s="5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4"/>
      <c r="AH844" s="29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 ht="15.75" customHeight="1">
      <c r="A845" s="28"/>
      <c r="B845" s="5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4"/>
      <c r="AH845" s="29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 ht="15.75" customHeight="1">
      <c r="A846" s="28"/>
      <c r="B846" s="5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4"/>
      <c r="AH846" s="29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 ht="15.75" customHeight="1">
      <c r="A847" s="28"/>
      <c r="B847" s="5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4"/>
      <c r="AH847" s="29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</row>
    <row r="848" ht="15.75" customHeight="1">
      <c r="A848" s="28"/>
      <c r="B848" s="5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4"/>
      <c r="AH848" s="29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</row>
    <row r="849" ht="15.75" customHeight="1">
      <c r="A849" s="28"/>
      <c r="B849" s="5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4"/>
      <c r="AH849" s="29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 ht="15.75" customHeight="1">
      <c r="A850" s="28"/>
      <c r="B850" s="5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4"/>
      <c r="AH850" s="29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</row>
    <row r="851" ht="15.75" customHeight="1">
      <c r="A851" s="28"/>
      <c r="B851" s="5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4"/>
      <c r="AH851" s="29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 ht="15.75" customHeight="1">
      <c r="A852" s="28"/>
      <c r="B852" s="5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4"/>
      <c r="AH852" s="29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</row>
    <row r="853" ht="15.75" customHeight="1">
      <c r="A853" s="28"/>
      <c r="B853" s="5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4"/>
      <c r="AH853" s="29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</row>
    <row r="854" ht="15.75" customHeight="1">
      <c r="A854" s="28"/>
      <c r="B854" s="5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4"/>
      <c r="AH854" s="29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</row>
    <row r="855" ht="15.75" customHeight="1">
      <c r="A855" s="28"/>
      <c r="B855" s="5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4"/>
      <c r="AH855" s="29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</row>
    <row r="856" ht="15.75" customHeight="1">
      <c r="A856" s="28"/>
      <c r="B856" s="5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4"/>
      <c r="AH856" s="29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</row>
    <row r="857" ht="15.75" customHeight="1">
      <c r="A857" s="28"/>
      <c r="B857" s="5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4"/>
      <c r="AH857" s="29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 ht="15.75" customHeight="1">
      <c r="A858" s="28"/>
      <c r="B858" s="5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4"/>
      <c r="AH858" s="29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 ht="15.75" customHeight="1">
      <c r="A859" s="28"/>
      <c r="B859" s="5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4"/>
      <c r="AH859" s="29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</row>
    <row r="860" ht="15.75" customHeight="1">
      <c r="A860" s="28"/>
      <c r="B860" s="5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4"/>
      <c r="AH860" s="29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</row>
    <row r="861" ht="15.75" customHeight="1">
      <c r="A861" s="28"/>
      <c r="B861" s="5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4"/>
      <c r="AH861" s="29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</row>
    <row r="862" ht="15.75" customHeight="1">
      <c r="A862" s="28"/>
      <c r="B862" s="5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4"/>
      <c r="AH862" s="29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 ht="15.75" customHeight="1">
      <c r="A863" s="28"/>
      <c r="B863" s="5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4"/>
      <c r="AH863" s="29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 ht="15.75" customHeight="1">
      <c r="A864" s="28"/>
      <c r="B864" s="5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4"/>
      <c r="AH864" s="29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 ht="15.75" customHeight="1">
      <c r="A865" s="28"/>
      <c r="B865" s="5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4"/>
      <c r="AH865" s="29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 ht="15.75" customHeight="1">
      <c r="A866" s="28"/>
      <c r="B866" s="5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4"/>
      <c r="AH866" s="29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</row>
    <row r="867" ht="15.75" customHeight="1">
      <c r="A867" s="28"/>
      <c r="B867" s="5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4"/>
      <c r="AH867" s="29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</row>
    <row r="868" ht="15.75" customHeight="1">
      <c r="A868" s="28"/>
      <c r="B868" s="5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4"/>
      <c r="AH868" s="29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</row>
    <row r="869" ht="15.75" customHeight="1">
      <c r="A869" s="28"/>
      <c r="B869" s="5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4"/>
      <c r="AH869" s="29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</row>
    <row r="870" ht="15.75" customHeight="1">
      <c r="A870" s="28"/>
      <c r="B870" s="5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4"/>
      <c r="AH870" s="29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</row>
    <row r="871" ht="15.75" customHeight="1">
      <c r="A871" s="28"/>
      <c r="B871" s="5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4"/>
      <c r="AH871" s="29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 ht="15.75" customHeight="1">
      <c r="A872" s="28"/>
      <c r="B872" s="5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4"/>
      <c r="AH872" s="29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 ht="15.75" customHeight="1">
      <c r="A873" s="28"/>
      <c r="B873" s="5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4"/>
      <c r="AH873" s="29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 ht="15.75" customHeight="1">
      <c r="A874" s="28"/>
      <c r="B874" s="5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4"/>
      <c r="AH874" s="29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 ht="15.75" customHeight="1">
      <c r="A875" s="28"/>
      <c r="B875" s="5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4"/>
      <c r="AH875" s="29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 ht="15.75" customHeight="1">
      <c r="A876" s="28"/>
      <c r="B876" s="5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4"/>
      <c r="AH876" s="29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 ht="15.75" customHeight="1">
      <c r="A877" s="28"/>
      <c r="B877" s="5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4"/>
      <c r="AH877" s="29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 ht="15.75" customHeight="1">
      <c r="A878" s="28"/>
      <c r="B878" s="5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4"/>
      <c r="AH878" s="29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</row>
    <row r="879" ht="15.75" customHeight="1">
      <c r="A879" s="28"/>
      <c r="B879" s="5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4"/>
      <c r="AH879" s="29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 ht="15.75" customHeight="1">
      <c r="A880" s="28"/>
      <c r="B880" s="5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4"/>
      <c r="AH880" s="29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 ht="15.75" customHeight="1">
      <c r="A881" s="28"/>
      <c r="B881" s="5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4"/>
      <c r="AH881" s="29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 ht="15.75" customHeight="1">
      <c r="A882" s="28"/>
      <c r="B882" s="5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4"/>
      <c r="AH882" s="29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 ht="15.75" customHeight="1">
      <c r="A883" s="28"/>
      <c r="B883" s="5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4"/>
      <c r="AH883" s="29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 ht="15.75" customHeight="1">
      <c r="A884" s="28"/>
      <c r="B884" s="5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4"/>
      <c r="AH884" s="29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 ht="15.75" customHeight="1">
      <c r="A885" s="28"/>
      <c r="B885" s="5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4"/>
      <c r="AH885" s="29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 ht="15.75" customHeight="1">
      <c r="A886" s="28"/>
      <c r="B886" s="5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4"/>
      <c r="AH886" s="29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 ht="15.75" customHeight="1">
      <c r="A887" s="28"/>
      <c r="B887" s="5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4"/>
      <c r="AH887" s="29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 ht="15.75" customHeight="1">
      <c r="A888" s="28"/>
      <c r="B888" s="5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4"/>
      <c r="AH888" s="29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 ht="15.75" customHeight="1">
      <c r="A889" s="28"/>
      <c r="B889" s="5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4"/>
      <c r="AH889" s="29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 ht="15.75" customHeight="1">
      <c r="A890" s="28"/>
      <c r="B890" s="5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4"/>
      <c r="AH890" s="29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 ht="15.75" customHeight="1">
      <c r="A891" s="28"/>
      <c r="B891" s="5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4"/>
      <c r="AH891" s="29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 ht="15.75" customHeight="1">
      <c r="A892" s="28"/>
      <c r="B892" s="5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4"/>
      <c r="AH892" s="29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 ht="15.75" customHeight="1">
      <c r="A893" s="28"/>
      <c r="B893" s="5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4"/>
      <c r="AH893" s="29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 ht="15.75" customHeight="1">
      <c r="A894" s="28"/>
      <c r="B894" s="5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4"/>
      <c r="AH894" s="29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 ht="15.75" customHeight="1">
      <c r="A895" s="28"/>
      <c r="B895" s="5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4"/>
      <c r="AH895" s="29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 ht="15.75" customHeight="1">
      <c r="A896" s="28"/>
      <c r="B896" s="5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4"/>
      <c r="AH896" s="29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 ht="15.75" customHeight="1">
      <c r="A897" s="28"/>
      <c r="B897" s="5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4"/>
      <c r="AH897" s="29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 ht="15.75" customHeight="1">
      <c r="A898" s="28"/>
      <c r="B898" s="5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4"/>
      <c r="AH898" s="29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 ht="15.75" customHeight="1">
      <c r="A899" s="28"/>
      <c r="B899" s="5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4"/>
      <c r="AH899" s="29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 ht="15.75" customHeight="1">
      <c r="A900" s="28"/>
      <c r="B900" s="5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4"/>
      <c r="AH900" s="29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 ht="15.75" customHeight="1">
      <c r="A901" s="28"/>
      <c r="B901" s="5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4"/>
      <c r="AH901" s="29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 ht="15.75" customHeight="1">
      <c r="A902" s="28"/>
      <c r="B902" s="5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4"/>
      <c r="AH902" s="29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 ht="15.75" customHeight="1">
      <c r="A903" s="28"/>
      <c r="B903" s="5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4"/>
      <c r="AH903" s="29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 ht="15.75" customHeight="1">
      <c r="A904" s="28"/>
      <c r="B904" s="5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4"/>
      <c r="AH904" s="29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 ht="15.75" customHeight="1">
      <c r="A905" s="28"/>
      <c r="B905" s="5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4"/>
      <c r="AH905" s="29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 ht="15.75" customHeight="1">
      <c r="A906" s="28"/>
      <c r="B906" s="5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4"/>
      <c r="AH906" s="29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 ht="15.75" customHeight="1">
      <c r="A907" s="28"/>
      <c r="B907" s="5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4"/>
      <c r="AH907" s="29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 ht="15.75" customHeight="1">
      <c r="A908" s="28"/>
      <c r="B908" s="5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4"/>
      <c r="AH908" s="29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 ht="15.75" customHeight="1">
      <c r="A909" s="28"/>
      <c r="B909" s="5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4"/>
      <c r="AH909" s="29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 ht="15.75" customHeight="1">
      <c r="A910" s="28"/>
      <c r="B910" s="5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4"/>
      <c r="AH910" s="29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 ht="15.75" customHeight="1">
      <c r="A911" s="28"/>
      <c r="B911" s="5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4"/>
      <c r="AH911" s="29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 ht="15.75" customHeight="1">
      <c r="A912" s="28"/>
      <c r="B912" s="5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4"/>
      <c r="AH912" s="29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 ht="15.75" customHeight="1">
      <c r="A913" s="28"/>
      <c r="B913" s="5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4"/>
      <c r="AH913" s="29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 ht="15.75" customHeight="1">
      <c r="A914" s="28"/>
      <c r="B914" s="5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4"/>
      <c r="AH914" s="29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 ht="15.75" customHeight="1">
      <c r="A915" s="28"/>
      <c r="B915" s="5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4"/>
      <c r="AH915" s="29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 ht="15.75" customHeight="1">
      <c r="A916" s="28"/>
      <c r="B916" s="5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4"/>
      <c r="AH916" s="29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 ht="15.75" customHeight="1">
      <c r="A917" s="28"/>
      <c r="B917" s="5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4"/>
      <c r="AH917" s="29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 ht="15.75" customHeight="1">
      <c r="A918" s="28"/>
      <c r="B918" s="5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4"/>
      <c r="AH918" s="29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 ht="15.75" customHeight="1">
      <c r="A919" s="28"/>
      <c r="B919" s="5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4"/>
      <c r="AH919" s="29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 ht="15.75" customHeight="1">
      <c r="A920" s="28"/>
      <c r="B920" s="5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4"/>
      <c r="AH920" s="29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 ht="15.75" customHeight="1">
      <c r="A921" s="28"/>
      <c r="B921" s="5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4"/>
      <c r="AH921" s="29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 ht="15.75" customHeight="1">
      <c r="A922" s="28"/>
      <c r="B922" s="5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4"/>
      <c r="AH922" s="29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 ht="15.75" customHeight="1">
      <c r="A923" s="28"/>
      <c r="B923" s="5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4"/>
      <c r="AH923" s="29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 ht="15.75" customHeight="1">
      <c r="A924" s="28"/>
      <c r="B924" s="5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4"/>
      <c r="AH924" s="29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 ht="15.75" customHeight="1">
      <c r="A925" s="28"/>
      <c r="B925" s="5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4"/>
      <c r="AH925" s="29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 ht="15.75" customHeight="1">
      <c r="A926" s="28"/>
      <c r="B926" s="5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4"/>
      <c r="AH926" s="29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 ht="15.75" customHeight="1">
      <c r="A927" s="28"/>
      <c r="B927" s="5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4"/>
      <c r="AH927" s="29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 ht="15.75" customHeight="1">
      <c r="A928" s="28"/>
      <c r="B928" s="5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4"/>
      <c r="AH928" s="29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 ht="15.75" customHeight="1">
      <c r="A929" s="28"/>
      <c r="B929" s="5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4"/>
      <c r="AH929" s="29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 ht="15.75" customHeight="1">
      <c r="A930" s="28"/>
      <c r="B930" s="5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4"/>
      <c r="AH930" s="29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 ht="15.75" customHeight="1">
      <c r="A931" s="28"/>
      <c r="B931" s="5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4"/>
      <c r="AH931" s="29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 ht="15.75" customHeight="1">
      <c r="A932" s="28"/>
      <c r="B932" s="5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4"/>
      <c r="AH932" s="29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 ht="15.75" customHeight="1">
      <c r="A933" s="28"/>
      <c r="B933" s="5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4"/>
      <c r="AH933" s="29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 ht="15.75" customHeight="1">
      <c r="A934" s="28"/>
      <c r="B934" s="5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4"/>
      <c r="AH934" s="29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 ht="15.75" customHeight="1">
      <c r="A935" s="28"/>
      <c r="B935" s="5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4"/>
      <c r="AH935" s="29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 ht="15.75" customHeight="1">
      <c r="A936" s="28"/>
      <c r="B936" s="5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4"/>
      <c r="AH936" s="29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 ht="15.75" customHeight="1">
      <c r="A937" s="28"/>
      <c r="B937" s="5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4"/>
      <c r="AH937" s="29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 ht="15.75" customHeight="1">
      <c r="A938" s="28"/>
      <c r="B938" s="5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4"/>
      <c r="AH938" s="29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 ht="15.75" customHeight="1">
      <c r="A939" s="28"/>
      <c r="B939" s="5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4"/>
      <c r="AH939" s="29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 ht="15.75" customHeight="1">
      <c r="A940" s="28"/>
      <c r="B940" s="5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4"/>
      <c r="AH940" s="29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</row>
    <row r="941" ht="15.75" customHeight="1">
      <c r="A941" s="28"/>
      <c r="B941" s="5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4"/>
      <c r="AH941" s="29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 ht="15.75" customHeight="1">
      <c r="A942" s="28"/>
      <c r="B942" s="5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4"/>
      <c r="AH942" s="29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 ht="15.75" customHeight="1">
      <c r="A943" s="28"/>
      <c r="B943" s="5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4"/>
      <c r="AH943" s="29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</row>
    <row r="944" ht="15.75" customHeight="1">
      <c r="A944" s="28"/>
      <c r="B944" s="5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4"/>
      <c r="AH944" s="29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 ht="15.75" customHeight="1">
      <c r="A945" s="28"/>
      <c r="B945" s="5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4"/>
      <c r="AH945" s="29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 ht="15.75" customHeight="1">
      <c r="A946" s="28"/>
      <c r="B946" s="5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4"/>
      <c r="AH946" s="29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 ht="15.75" customHeight="1">
      <c r="A947" s="28"/>
      <c r="B947" s="5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4"/>
      <c r="AH947" s="29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</row>
    <row r="948" ht="15.75" customHeight="1">
      <c r="A948" s="28"/>
      <c r="B948" s="5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4"/>
      <c r="AH948" s="29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</row>
    <row r="949" ht="15.75" customHeight="1">
      <c r="A949" s="28"/>
      <c r="B949" s="5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4"/>
      <c r="AH949" s="29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</row>
    <row r="950" ht="15.75" customHeight="1">
      <c r="A950" s="28"/>
      <c r="B950" s="5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4"/>
      <c r="AH950" s="29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 ht="15.75" customHeight="1">
      <c r="A951" s="28"/>
      <c r="B951" s="5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4"/>
      <c r="AH951" s="29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 ht="15.75" customHeight="1">
      <c r="A952" s="28"/>
      <c r="B952" s="5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4"/>
      <c r="AH952" s="29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</row>
    <row r="953" ht="15.75" customHeight="1">
      <c r="A953" s="28"/>
      <c r="B953" s="5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4"/>
      <c r="AH953" s="29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</row>
    <row r="954" ht="15.75" customHeight="1">
      <c r="A954" s="28"/>
      <c r="B954" s="5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4"/>
      <c r="AH954" s="29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</row>
    <row r="955" ht="15.75" customHeight="1">
      <c r="A955" s="28"/>
      <c r="B955" s="5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4"/>
      <c r="AH955" s="29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</row>
    <row r="956" ht="15.75" customHeight="1">
      <c r="A956" s="28"/>
      <c r="B956" s="5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4"/>
      <c r="AH956" s="29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</row>
    <row r="957" ht="15.75" customHeight="1">
      <c r="A957" s="28"/>
      <c r="B957" s="5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4"/>
      <c r="AH957" s="29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 ht="15.75" customHeight="1">
      <c r="A958" s="28"/>
      <c r="B958" s="5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4"/>
      <c r="AH958" s="29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 ht="15.75" customHeight="1">
      <c r="A959" s="28"/>
      <c r="B959" s="5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4"/>
      <c r="AH959" s="29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 ht="15.75" customHeight="1">
      <c r="A960" s="28"/>
      <c r="B960" s="5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4"/>
      <c r="AH960" s="29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 ht="15.75" customHeight="1">
      <c r="A961" s="28"/>
      <c r="B961" s="5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4"/>
      <c r="AH961" s="29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</row>
    <row r="962" ht="15.75" customHeight="1">
      <c r="A962" s="28"/>
      <c r="B962" s="5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4"/>
      <c r="AH962" s="29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</row>
    <row r="963" ht="15.75" customHeight="1">
      <c r="A963" s="28"/>
      <c r="B963" s="5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4"/>
      <c r="AH963" s="29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</row>
    <row r="964" ht="15.75" customHeight="1">
      <c r="A964" s="28"/>
      <c r="B964" s="5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4"/>
      <c r="AH964" s="29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 ht="15.75" customHeight="1">
      <c r="A965" s="28"/>
      <c r="B965" s="5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4"/>
      <c r="AH965" s="29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 ht="15.75" customHeight="1">
      <c r="A966" s="28"/>
      <c r="B966" s="5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4"/>
      <c r="AH966" s="29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 ht="15.75" customHeight="1">
      <c r="A967" s="28"/>
      <c r="B967" s="5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4"/>
      <c r="AH967" s="29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 ht="15.75" customHeight="1">
      <c r="A968" s="28"/>
      <c r="B968" s="5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4"/>
      <c r="AH968" s="29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 ht="15.75" customHeight="1">
      <c r="A969" s="28"/>
      <c r="B969" s="5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4"/>
      <c r="AH969" s="29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 ht="15.75" customHeight="1">
      <c r="A970" s="28"/>
      <c r="B970" s="5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4"/>
      <c r="AH970" s="29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 ht="15.75" customHeight="1">
      <c r="A971" s="28"/>
      <c r="B971" s="5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4"/>
      <c r="AH971" s="29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</row>
    <row r="972" ht="15.75" customHeight="1">
      <c r="A972" s="28"/>
      <c r="B972" s="5"/>
      <c r="C972" s="4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4"/>
      <c r="AH972" s="29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</row>
    <row r="973" ht="15.75" customHeight="1">
      <c r="A973" s="28"/>
      <c r="B973" s="5"/>
      <c r="C973" s="4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4"/>
      <c r="AH973" s="29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 ht="15.75" customHeight="1">
      <c r="A974" s="28"/>
      <c r="B974" s="5"/>
      <c r="C974" s="4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4"/>
      <c r="AH974" s="29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</row>
    <row r="975" ht="15.75" customHeight="1">
      <c r="A975" s="28"/>
      <c r="B975" s="5"/>
      <c r="C975" s="4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4"/>
      <c r="AH975" s="29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 ht="15.75" customHeight="1">
      <c r="A976" s="28"/>
      <c r="B976" s="5"/>
      <c r="C976" s="4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4"/>
      <c r="AH976" s="29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</row>
    <row r="977" ht="15.75" customHeight="1">
      <c r="A977" s="28"/>
      <c r="B977" s="5"/>
      <c r="C977" s="4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4"/>
      <c r="AH977" s="29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</row>
    <row r="978" ht="15.75" customHeight="1">
      <c r="A978" s="28"/>
      <c r="B978" s="5"/>
      <c r="C978" s="4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4"/>
      <c r="AH978" s="29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</row>
    <row r="979" ht="15.75" customHeight="1">
      <c r="A979" s="28"/>
      <c r="B979" s="5"/>
      <c r="C979" s="4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4"/>
      <c r="AH979" s="29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</row>
    <row r="980" ht="15.75" customHeight="1">
      <c r="A980" s="28"/>
      <c r="B980" s="5"/>
      <c r="C980" s="4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4"/>
      <c r="AH980" s="29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</row>
    <row r="981" ht="15.75" customHeight="1">
      <c r="A981" s="28"/>
      <c r="B981" s="5"/>
      <c r="C981" s="4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4"/>
      <c r="AH981" s="29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 ht="15.75" customHeight="1">
      <c r="A982" s="28"/>
      <c r="B982" s="5"/>
      <c r="C982" s="4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4"/>
      <c r="AH982" s="29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 ht="15.75" customHeight="1">
      <c r="A983" s="28"/>
      <c r="B983" s="5"/>
      <c r="C983" s="4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4"/>
      <c r="AH983" s="29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</row>
    <row r="984" ht="15.75" customHeight="1">
      <c r="A984" s="28"/>
      <c r="B984" s="5"/>
      <c r="C984" s="4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4"/>
      <c r="AH984" s="29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</row>
    <row r="985" ht="15.75" customHeight="1">
      <c r="A985" s="28"/>
      <c r="B985" s="5"/>
      <c r="C985" s="4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4"/>
      <c r="AH985" s="29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</row>
    <row r="986" ht="15.75" customHeight="1">
      <c r="A986" s="28"/>
      <c r="B986" s="5"/>
      <c r="C986" s="4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4"/>
      <c r="AH986" s="29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</row>
    <row r="987" ht="15.75" customHeight="1">
      <c r="A987" s="28"/>
      <c r="B987" s="5"/>
      <c r="C987" s="4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4"/>
      <c r="AH987" s="29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</row>
    <row r="988" ht="15.75" customHeight="1">
      <c r="A988" s="28"/>
      <c r="B988" s="5"/>
      <c r="C988" s="4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4"/>
      <c r="AH988" s="29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 ht="15.75" customHeight="1">
      <c r="A989" s="28"/>
      <c r="B989" s="5"/>
      <c r="C989" s="4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4"/>
      <c r="AH989" s="29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 ht="15.75" customHeight="1">
      <c r="A990" s="28"/>
      <c r="B990" s="5"/>
      <c r="C990" s="4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4"/>
      <c r="AH990" s="29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</row>
    <row r="991" ht="15.75" customHeight="1">
      <c r="A991" s="28"/>
      <c r="B991" s="5"/>
      <c r="C991" s="4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4"/>
      <c r="AH991" s="29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</row>
    <row r="992" ht="15.75" customHeight="1">
      <c r="A992" s="28"/>
      <c r="B992" s="5"/>
      <c r="C992" s="4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4"/>
      <c r="AH992" s="29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</row>
    <row r="993" ht="15.75" customHeight="1">
      <c r="A993" s="28"/>
      <c r="B993" s="5"/>
      <c r="C993" s="4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4"/>
      <c r="AH993" s="29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</row>
    <row r="994" ht="15.75" customHeight="1">
      <c r="A994" s="28"/>
      <c r="B994" s="5"/>
      <c r="C994" s="4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4"/>
      <c r="AH994" s="29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</row>
    <row r="995" ht="15.75" customHeight="1">
      <c r="A995" s="28"/>
      <c r="B995" s="5"/>
      <c r="C995" s="4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4"/>
      <c r="AH995" s="29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 ht="15.75" customHeight="1">
      <c r="A996" s="28"/>
      <c r="B996" s="5"/>
      <c r="C996" s="4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4"/>
      <c r="AH996" s="29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 ht="15.75" customHeight="1">
      <c r="A997" s="28"/>
      <c r="B997" s="5"/>
      <c r="C997" s="4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4"/>
      <c r="AH997" s="29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 ht="15.75" customHeight="1">
      <c r="A998" s="28"/>
      <c r="B998" s="5"/>
      <c r="C998" s="4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4"/>
      <c r="AH998" s="29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 ht="15.75" customHeight="1">
      <c r="A999" s="28"/>
      <c r="B999" s="5"/>
      <c r="C999" s="4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29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28"/>
      <c r="AT999" s="28"/>
      <c r="AU999" s="28"/>
      <c r="AV999" s="28"/>
      <c r="AW999" s="28"/>
      <c r="AX999" s="28"/>
      <c r="AY999" s="2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57"/>
    <col customWidth="1" min="2" max="2" width="37.71"/>
    <col customWidth="1" min="3" max="3" width="15.71"/>
    <col customWidth="1" min="4" max="4" width="13.71"/>
    <col customWidth="1" min="5" max="5" width="16.71"/>
    <col customWidth="1" min="6" max="6" width="15.43"/>
    <col customWidth="1" min="7" max="27" width="8.71"/>
  </cols>
  <sheetData>
    <row r="1">
      <c r="A1" s="2"/>
      <c r="B1" s="2" t="s">
        <v>0</v>
      </c>
      <c r="C1" s="45"/>
      <c r="D1" s="15"/>
      <c r="E1" s="46"/>
      <c r="F1" s="4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2"/>
      <c r="B2" s="48" t="s">
        <v>196</v>
      </c>
      <c r="C2" s="45"/>
      <c r="D2" s="15"/>
      <c r="E2" s="46"/>
      <c r="F2" s="4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1.0" customHeight="1">
      <c r="A3" s="16" t="s">
        <v>6</v>
      </c>
      <c r="B3" s="17" t="s">
        <v>7</v>
      </c>
      <c r="C3" s="49" t="s">
        <v>197</v>
      </c>
      <c r="D3" s="50" t="s">
        <v>198</v>
      </c>
      <c r="E3" s="51" t="s">
        <v>199</v>
      </c>
      <c r="F3" s="52" t="s">
        <v>200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9" t="s">
        <v>10</v>
      </c>
      <c r="B4" s="20" t="s">
        <v>11</v>
      </c>
      <c r="C4" s="53">
        <v>47.0</v>
      </c>
      <c r="D4" s="54">
        <f>Purchases!V24</f>
        <v>0</v>
      </c>
      <c r="E4" s="55">
        <f>Sales!AG5</f>
        <v>164</v>
      </c>
      <c r="F4" s="56">
        <f t="shared" ref="F4:F92" si="1">C4+D4-E4</f>
        <v>-117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9" t="s">
        <v>12</v>
      </c>
      <c r="B5" s="20" t="s">
        <v>13</v>
      </c>
      <c r="C5" s="53">
        <v>30.0</v>
      </c>
      <c r="D5" s="54">
        <f>Purchases!V25</f>
        <v>0</v>
      </c>
      <c r="E5" s="55">
        <f>Sales!AG6</f>
        <v>48</v>
      </c>
      <c r="F5" s="56">
        <f t="shared" si="1"/>
        <v>-18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9" t="s">
        <v>14</v>
      </c>
      <c r="B6" s="20" t="s">
        <v>15</v>
      </c>
      <c r="C6" s="57"/>
      <c r="D6" s="54">
        <f>Purchases!V26</f>
        <v>0</v>
      </c>
      <c r="E6" s="55">
        <f>Sales!AG7</f>
        <v>0</v>
      </c>
      <c r="F6" s="56">
        <f t="shared" si="1"/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9" t="s">
        <v>16</v>
      </c>
      <c r="B7" s="20" t="s">
        <v>17</v>
      </c>
      <c r="C7" s="58">
        <v>509.0</v>
      </c>
      <c r="D7" s="54">
        <f>Purchases!V28</f>
        <v>0</v>
      </c>
      <c r="E7" s="55">
        <f>Sales!AG8</f>
        <v>12</v>
      </c>
      <c r="F7" s="56">
        <f t="shared" si="1"/>
        <v>497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9" t="s">
        <v>18</v>
      </c>
      <c r="B8" s="20" t="s">
        <v>19</v>
      </c>
      <c r="C8" s="58">
        <v>25.0</v>
      </c>
      <c r="D8" s="54">
        <f>Purchases!V29</f>
        <v>0</v>
      </c>
      <c r="E8" s="55">
        <f>Sales!AG9</f>
        <v>0</v>
      </c>
      <c r="F8" s="56">
        <f t="shared" si="1"/>
        <v>25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9" t="s">
        <v>20</v>
      </c>
      <c r="B9" s="20" t="s">
        <v>21</v>
      </c>
      <c r="C9" s="57"/>
      <c r="D9" s="54">
        <f>Purchases!V27</f>
        <v>0</v>
      </c>
      <c r="E9" s="55">
        <f>Sales!AG10</f>
        <v>0</v>
      </c>
      <c r="F9" s="56">
        <f t="shared" si="1"/>
        <v>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9" t="s">
        <v>22</v>
      </c>
      <c r="B10" s="20" t="s">
        <v>23</v>
      </c>
      <c r="C10" s="58">
        <v>288.0</v>
      </c>
      <c r="D10" s="54">
        <f>Purchases!V30</f>
        <v>0</v>
      </c>
      <c r="E10" s="55">
        <f>Sales!AG11</f>
        <v>0</v>
      </c>
      <c r="F10" s="56">
        <f t="shared" si="1"/>
        <v>288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9" t="s">
        <v>24</v>
      </c>
      <c r="B11" s="20" t="s">
        <v>25</v>
      </c>
      <c r="C11" s="58">
        <v>336.0</v>
      </c>
      <c r="D11" s="54">
        <f>Purchases!V31</f>
        <v>0</v>
      </c>
      <c r="E11" s="55">
        <f>Sales!AG12</f>
        <v>0</v>
      </c>
      <c r="F11" s="56">
        <f t="shared" si="1"/>
        <v>336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9" t="s">
        <v>26</v>
      </c>
      <c r="B12" s="20" t="s">
        <v>27</v>
      </c>
      <c r="C12" s="59">
        <v>425.0</v>
      </c>
      <c r="D12" s="54">
        <f>Purchases!V33</f>
        <v>0</v>
      </c>
      <c r="E12" s="55">
        <f>Sales!AG13</f>
        <v>0</v>
      </c>
      <c r="F12" s="56">
        <f t="shared" si="1"/>
        <v>425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9" t="s">
        <v>28</v>
      </c>
      <c r="B13" s="20" t="s">
        <v>29</v>
      </c>
      <c r="C13" s="58">
        <v>68.0</v>
      </c>
      <c r="D13" s="54">
        <f>Purchases!V32</f>
        <v>0</v>
      </c>
      <c r="E13" s="55">
        <f>Sales!AG14</f>
        <v>0</v>
      </c>
      <c r="F13" s="56">
        <f t="shared" si="1"/>
        <v>68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9" t="s">
        <v>30</v>
      </c>
      <c r="B14" s="20" t="s">
        <v>31</v>
      </c>
      <c r="C14" s="58">
        <v>475.0</v>
      </c>
      <c r="D14" s="54">
        <f>Purchases!V35</f>
        <v>0</v>
      </c>
      <c r="E14" s="55">
        <f>Sales!AG15</f>
        <v>0</v>
      </c>
      <c r="F14" s="56">
        <f t="shared" si="1"/>
        <v>475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9" t="s">
        <v>32</v>
      </c>
      <c r="B15" s="20" t="s">
        <v>33</v>
      </c>
      <c r="C15" s="58">
        <v>96.0</v>
      </c>
      <c r="D15" s="54">
        <f>Purchases!V34</f>
        <v>0</v>
      </c>
      <c r="E15" s="55">
        <f>Sales!AG16</f>
        <v>0</v>
      </c>
      <c r="F15" s="56">
        <f t="shared" si="1"/>
        <v>96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9" t="s">
        <v>34</v>
      </c>
      <c r="B16" s="20" t="s">
        <v>35</v>
      </c>
      <c r="C16" s="58">
        <v>168.0</v>
      </c>
      <c r="D16" s="54">
        <f>Purchases!V36</f>
        <v>0</v>
      </c>
      <c r="E16" s="55">
        <f>Sales!AG17</f>
        <v>0</v>
      </c>
      <c r="F16" s="56">
        <f t="shared" si="1"/>
        <v>168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9" t="s">
        <v>36</v>
      </c>
      <c r="B17" s="20" t="s">
        <v>37</v>
      </c>
      <c r="C17" s="57"/>
      <c r="D17" s="54">
        <f>Purchases!V37</f>
        <v>0</v>
      </c>
      <c r="E17" s="55">
        <f>Sales!AG18</f>
        <v>0</v>
      </c>
      <c r="F17" s="56">
        <f t="shared" si="1"/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9" t="s">
        <v>38</v>
      </c>
      <c r="B18" s="20" t="s">
        <v>39</v>
      </c>
      <c r="C18" s="57"/>
      <c r="D18" s="54">
        <f>Purchases!V38</f>
        <v>0</v>
      </c>
      <c r="E18" s="55">
        <f>Sales!AG19</f>
        <v>0</v>
      </c>
      <c r="F18" s="56">
        <f t="shared" si="1"/>
        <v>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19" t="s">
        <v>40</v>
      </c>
      <c r="B19" s="20" t="s">
        <v>41</v>
      </c>
      <c r="C19" s="58">
        <v>48.0</v>
      </c>
      <c r="D19" s="54">
        <f>Purchases!V39</f>
        <v>0</v>
      </c>
      <c r="E19" s="55">
        <f>Sales!AG20</f>
        <v>0</v>
      </c>
      <c r="F19" s="56">
        <f t="shared" si="1"/>
        <v>48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9" t="s">
        <v>42</v>
      </c>
      <c r="B20" s="20" t="s">
        <v>43</v>
      </c>
      <c r="C20" s="53">
        <v>400.0</v>
      </c>
      <c r="D20" s="54">
        <f>Purchases!V40</f>
        <v>0</v>
      </c>
      <c r="E20" s="55">
        <f>Sales!AG21</f>
        <v>0</v>
      </c>
      <c r="F20" s="56">
        <f t="shared" si="1"/>
        <v>400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19" t="s">
        <v>44</v>
      </c>
      <c r="B21" s="20" t="s">
        <v>45</v>
      </c>
      <c r="C21" s="57"/>
      <c r="D21" s="54">
        <f>Purchases!V42</f>
        <v>0</v>
      </c>
      <c r="E21" s="55">
        <f>Sales!AG22</f>
        <v>0</v>
      </c>
      <c r="F21" s="56">
        <f t="shared" si="1"/>
        <v>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9" t="s">
        <v>46</v>
      </c>
      <c r="B22" s="20" t="s">
        <v>47</v>
      </c>
      <c r="C22" s="57"/>
      <c r="D22" s="54">
        <f>Purchases!V41</f>
        <v>0</v>
      </c>
      <c r="E22" s="55">
        <f>Sales!AG23</f>
        <v>0</v>
      </c>
      <c r="F22" s="56">
        <f t="shared" si="1"/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9" t="s">
        <v>48</v>
      </c>
      <c r="B23" s="23" t="s">
        <v>49</v>
      </c>
      <c r="C23" s="57"/>
      <c r="D23" s="54">
        <f>Purchases!V43</f>
        <v>0</v>
      </c>
      <c r="E23" s="55">
        <f>Sales!AG24</f>
        <v>0</v>
      </c>
      <c r="F23" s="56">
        <f t="shared" si="1"/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9" t="s">
        <v>50</v>
      </c>
      <c r="B24" s="23" t="s">
        <v>51</v>
      </c>
      <c r="C24" s="58">
        <v>96.0</v>
      </c>
      <c r="D24" s="54">
        <f>Purchases!V44</f>
        <v>0</v>
      </c>
      <c r="E24" s="55">
        <f>Sales!AG25</f>
        <v>0</v>
      </c>
      <c r="F24" s="56">
        <f t="shared" si="1"/>
        <v>96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19" t="s">
        <v>52</v>
      </c>
      <c r="B25" s="23" t="s">
        <v>53</v>
      </c>
      <c r="C25" s="58">
        <v>50.0</v>
      </c>
      <c r="D25" s="54">
        <f>Purchases!V45</f>
        <v>0</v>
      </c>
      <c r="E25" s="55">
        <f>Sales!AG26</f>
        <v>0</v>
      </c>
      <c r="F25" s="56">
        <f t="shared" si="1"/>
        <v>50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9" t="s">
        <v>54</v>
      </c>
      <c r="B26" s="23" t="s">
        <v>55</v>
      </c>
      <c r="C26" s="58">
        <v>8.0</v>
      </c>
      <c r="D26" s="54">
        <f>Purchases!V47</f>
        <v>0</v>
      </c>
      <c r="E26" s="55">
        <f>Sales!AG27</f>
        <v>0</v>
      </c>
      <c r="F26" s="56">
        <f t="shared" si="1"/>
        <v>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19" t="s">
        <v>56</v>
      </c>
      <c r="B27" s="23" t="s">
        <v>57</v>
      </c>
      <c r="C27" s="58">
        <v>94.0</v>
      </c>
      <c r="D27" s="54">
        <f>Purchases!V46</f>
        <v>0</v>
      </c>
      <c r="E27" s="55">
        <f>Sales!AG28</f>
        <v>20</v>
      </c>
      <c r="F27" s="56">
        <f t="shared" si="1"/>
        <v>74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19" t="s">
        <v>58</v>
      </c>
      <c r="B28" s="23" t="s">
        <v>59</v>
      </c>
      <c r="C28" s="53">
        <v>600.0</v>
      </c>
      <c r="D28" s="54">
        <f>Purchases!V48</f>
        <v>0</v>
      </c>
      <c r="E28" s="55">
        <f>Sales!AG29</f>
        <v>0</v>
      </c>
      <c r="F28" s="56">
        <f t="shared" si="1"/>
        <v>600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9" t="s">
        <v>60</v>
      </c>
      <c r="B29" s="23" t="s">
        <v>61</v>
      </c>
      <c r="C29" s="58">
        <v>125.0</v>
      </c>
      <c r="D29" s="54">
        <f>Purchases!V49</f>
        <v>0</v>
      </c>
      <c r="E29" s="55">
        <f>Sales!AG30</f>
        <v>12</v>
      </c>
      <c r="F29" s="56">
        <f t="shared" si="1"/>
        <v>113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9" t="s">
        <v>62</v>
      </c>
      <c r="B30" s="23" t="s">
        <v>63</v>
      </c>
      <c r="C30" s="60">
        <v>768.0</v>
      </c>
      <c r="D30" s="54">
        <f>Purchases!V5</f>
        <v>45</v>
      </c>
      <c r="E30" s="55">
        <f>Sales!AG31</f>
        <v>12</v>
      </c>
      <c r="F30" s="56">
        <f t="shared" si="1"/>
        <v>801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19" t="s">
        <v>64</v>
      </c>
      <c r="B31" s="23" t="s">
        <v>65</v>
      </c>
      <c r="C31" s="60">
        <v>1003.0</v>
      </c>
      <c r="D31" s="54">
        <f>Purchases!V6</f>
        <v>0</v>
      </c>
      <c r="E31" s="55">
        <f>Sales!AG32</f>
        <v>12</v>
      </c>
      <c r="F31" s="56">
        <f t="shared" si="1"/>
        <v>991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9" t="s">
        <v>66</v>
      </c>
      <c r="B32" s="23" t="s">
        <v>67</v>
      </c>
      <c r="C32" s="60">
        <v>197.0</v>
      </c>
      <c r="D32" s="54">
        <f>Purchases!V7</f>
        <v>0</v>
      </c>
      <c r="E32" s="55">
        <f>Sales!AG33</f>
        <v>0</v>
      </c>
      <c r="F32" s="56">
        <f t="shared" si="1"/>
        <v>197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19" t="s">
        <v>68</v>
      </c>
      <c r="B33" s="23" t="s">
        <v>69</v>
      </c>
      <c r="C33" s="60">
        <v>24.0</v>
      </c>
      <c r="D33" s="54">
        <f>Purchases!V8</f>
        <v>0</v>
      </c>
      <c r="E33" s="55">
        <f>Sales!AG34</f>
        <v>0</v>
      </c>
      <c r="F33" s="56">
        <f t="shared" si="1"/>
        <v>24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19" t="s">
        <v>70</v>
      </c>
      <c r="B34" s="23" t="s">
        <v>71</v>
      </c>
      <c r="C34" s="60">
        <v>7.0</v>
      </c>
      <c r="D34" s="54">
        <f>Purchases!V9</f>
        <v>0</v>
      </c>
      <c r="E34" s="55">
        <f>Sales!AG35</f>
        <v>0</v>
      </c>
      <c r="F34" s="56">
        <f t="shared" si="1"/>
        <v>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19" t="s">
        <v>72</v>
      </c>
      <c r="B35" s="23" t="s">
        <v>73</v>
      </c>
      <c r="C35" s="60">
        <v>120.0</v>
      </c>
      <c r="D35" s="54">
        <f>Purchases!V10</f>
        <v>0</v>
      </c>
      <c r="E35" s="55">
        <f>Sales!AG36</f>
        <v>0</v>
      </c>
      <c r="F35" s="56">
        <f t="shared" si="1"/>
        <v>120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19" t="s">
        <v>74</v>
      </c>
      <c r="B36" s="23" t="s">
        <v>75</v>
      </c>
      <c r="C36" s="60">
        <v>312.0</v>
      </c>
      <c r="D36" s="54">
        <f>Purchases!V11</f>
        <v>0</v>
      </c>
      <c r="E36" s="55">
        <f>Sales!AG37</f>
        <v>0</v>
      </c>
      <c r="F36" s="56">
        <f t="shared" si="1"/>
        <v>312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19" t="s">
        <v>76</v>
      </c>
      <c r="B37" s="23" t="s">
        <v>77</v>
      </c>
      <c r="C37" s="60">
        <v>120.0</v>
      </c>
      <c r="D37" s="54">
        <f>Purchases!V12</f>
        <v>0</v>
      </c>
      <c r="E37" s="55">
        <f>Sales!AG38</f>
        <v>0</v>
      </c>
      <c r="F37" s="56">
        <f t="shared" si="1"/>
        <v>120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19" t="s">
        <v>78</v>
      </c>
      <c r="B38" s="23" t="s">
        <v>79</v>
      </c>
      <c r="C38" s="60">
        <v>96.0</v>
      </c>
      <c r="D38" s="54">
        <f>Purchases!V13</f>
        <v>0</v>
      </c>
      <c r="E38" s="55">
        <f>Sales!AG39</f>
        <v>0</v>
      </c>
      <c r="F38" s="56">
        <f t="shared" si="1"/>
        <v>96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19" t="s">
        <v>80</v>
      </c>
      <c r="B39" s="23" t="s">
        <v>81</v>
      </c>
      <c r="C39" s="61"/>
      <c r="D39" s="54">
        <f>Purchases!V14</f>
        <v>0</v>
      </c>
      <c r="E39" s="55">
        <f>Sales!AG40</f>
        <v>0</v>
      </c>
      <c r="F39" s="56">
        <f t="shared" si="1"/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19" t="s">
        <v>82</v>
      </c>
      <c r="B40" s="23" t="s">
        <v>83</v>
      </c>
      <c r="C40" s="60">
        <v>76.0</v>
      </c>
      <c r="D40" s="54">
        <f>Purchases!V15</f>
        <v>0</v>
      </c>
      <c r="E40" s="55">
        <f>Sales!AG41</f>
        <v>0</v>
      </c>
      <c r="F40" s="56">
        <f t="shared" si="1"/>
        <v>76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19" t="s">
        <v>84</v>
      </c>
      <c r="B41" s="23" t="s">
        <v>85</v>
      </c>
      <c r="C41" s="62">
        <v>72.0</v>
      </c>
      <c r="D41" s="54">
        <f>Purchases!V16</f>
        <v>0</v>
      </c>
      <c r="E41" s="55">
        <f>Sales!AG42</f>
        <v>0</v>
      </c>
      <c r="F41" s="56">
        <f t="shared" si="1"/>
        <v>72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19" t="s">
        <v>86</v>
      </c>
      <c r="B42" s="23" t="s">
        <v>87</v>
      </c>
      <c r="C42" s="60">
        <v>24.0</v>
      </c>
      <c r="D42" s="54">
        <f>Purchases!V17</f>
        <v>0</v>
      </c>
      <c r="E42" s="55">
        <f>Sales!AG43</f>
        <v>0</v>
      </c>
      <c r="F42" s="56">
        <f t="shared" si="1"/>
        <v>24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19" t="s">
        <v>88</v>
      </c>
      <c r="B43" s="23" t="s">
        <v>89</v>
      </c>
      <c r="C43" s="60">
        <v>72.0</v>
      </c>
      <c r="D43" s="54">
        <f>Purchases!V18</f>
        <v>0</v>
      </c>
      <c r="E43" s="55">
        <f>Sales!AG44</f>
        <v>0</v>
      </c>
      <c r="F43" s="56">
        <f t="shared" si="1"/>
        <v>72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19" t="s">
        <v>90</v>
      </c>
      <c r="B44" s="23" t="s">
        <v>91</v>
      </c>
      <c r="C44" s="60">
        <v>190.0</v>
      </c>
      <c r="D44" s="54">
        <f>Purchases!V19</f>
        <v>0</v>
      </c>
      <c r="E44" s="55">
        <f>Sales!AG45</f>
        <v>0</v>
      </c>
      <c r="F44" s="56">
        <f t="shared" si="1"/>
        <v>190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19" t="s">
        <v>92</v>
      </c>
      <c r="B45" s="23" t="s">
        <v>93</v>
      </c>
      <c r="C45" s="62">
        <v>16.0</v>
      </c>
      <c r="D45" s="54">
        <f>Purchases!V20</f>
        <v>0</v>
      </c>
      <c r="E45" s="55">
        <f>Sales!AG46</f>
        <v>0</v>
      </c>
      <c r="F45" s="56">
        <f t="shared" si="1"/>
        <v>16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19" t="s">
        <v>94</v>
      </c>
      <c r="B46" s="23" t="s">
        <v>95</v>
      </c>
      <c r="C46" s="60">
        <v>576.0</v>
      </c>
      <c r="D46" s="54">
        <f>Purchases!V21</f>
        <v>0</v>
      </c>
      <c r="E46" s="55">
        <f>Sales!AG47</f>
        <v>0</v>
      </c>
      <c r="F46" s="56">
        <f t="shared" si="1"/>
        <v>576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19" t="s">
        <v>96</v>
      </c>
      <c r="B47" s="23" t="s">
        <v>97</v>
      </c>
      <c r="C47" s="60">
        <v>96.0</v>
      </c>
      <c r="D47" s="54">
        <f>Purchases!V22</f>
        <v>0</v>
      </c>
      <c r="E47" s="55">
        <f>Sales!AG48</f>
        <v>0</v>
      </c>
      <c r="F47" s="56">
        <f t="shared" si="1"/>
        <v>96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19" t="s">
        <v>98</v>
      </c>
      <c r="B48" s="23" t="s">
        <v>99</v>
      </c>
      <c r="C48" s="60">
        <v>96.0</v>
      </c>
      <c r="D48" s="54">
        <f>Purchases!V23</f>
        <v>0</v>
      </c>
      <c r="E48" s="55">
        <f>Sales!AG49</f>
        <v>0</v>
      </c>
      <c r="F48" s="56">
        <f t="shared" si="1"/>
        <v>96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19" t="s">
        <v>100</v>
      </c>
      <c r="B49" s="23" t="s">
        <v>101</v>
      </c>
      <c r="C49" s="58">
        <v>200.0</v>
      </c>
      <c r="D49" s="54">
        <f>Purchases!V50</f>
        <v>0</v>
      </c>
      <c r="E49" s="55">
        <f>Sales!AG50</f>
        <v>0</v>
      </c>
      <c r="F49" s="56">
        <f t="shared" si="1"/>
        <v>200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19" t="s">
        <v>102</v>
      </c>
      <c r="B50" s="23" t="s">
        <v>103</v>
      </c>
      <c r="C50" s="63">
        <v>600.0</v>
      </c>
      <c r="D50" s="54">
        <f>Purchases!V52</f>
        <v>0</v>
      </c>
      <c r="E50" s="55">
        <f>Sales!AG51</f>
        <v>300</v>
      </c>
      <c r="F50" s="56">
        <f t="shared" si="1"/>
        <v>300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19" t="s">
        <v>104</v>
      </c>
      <c r="B51" s="23" t="s">
        <v>105</v>
      </c>
      <c r="C51" s="58">
        <v>2850.0</v>
      </c>
      <c r="D51" s="54">
        <f>Purchases!V51</f>
        <v>0</v>
      </c>
      <c r="E51" s="55">
        <f>Sales!AG52</f>
        <v>0</v>
      </c>
      <c r="F51" s="56">
        <f t="shared" si="1"/>
        <v>2850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19" t="s">
        <v>106</v>
      </c>
      <c r="B52" s="23" t="s">
        <v>107</v>
      </c>
      <c r="C52" s="57"/>
      <c r="D52" s="54">
        <f>Purchases!V53</f>
        <v>0</v>
      </c>
      <c r="E52" s="55">
        <f>Sales!AG53</f>
        <v>0</v>
      </c>
      <c r="F52" s="56">
        <f t="shared" si="1"/>
        <v>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19" t="s">
        <v>108</v>
      </c>
      <c r="B53" s="23" t="s">
        <v>109</v>
      </c>
      <c r="C53" s="57"/>
      <c r="D53" s="54">
        <f>Purchases!V54</f>
        <v>0</v>
      </c>
      <c r="E53" s="55">
        <f>Sales!AG54</f>
        <v>0</v>
      </c>
      <c r="F53" s="56">
        <f t="shared" si="1"/>
        <v>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19" t="s">
        <v>110</v>
      </c>
      <c r="B54" s="23" t="s">
        <v>111</v>
      </c>
      <c r="C54" s="53">
        <v>60.0</v>
      </c>
      <c r="D54" s="54">
        <f>Purchases!V55</f>
        <v>0</v>
      </c>
      <c r="E54" s="55">
        <f>Sales!AG55</f>
        <v>0</v>
      </c>
      <c r="F54" s="56">
        <f t="shared" si="1"/>
        <v>60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19" t="s">
        <v>112</v>
      </c>
      <c r="B55" s="23" t="s">
        <v>113</v>
      </c>
      <c r="C55" s="58">
        <v>1560.0</v>
      </c>
      <c r="D55" s="54">
        <f>Purchases!V56</f>
        <v>0</v>
      </c>
      <c r="E55" s="55">
        <f>Sales!AG56</f>
        <v>0</v>
      </c>
      <c r="F55" s="56">
        <f t="shared" si="1"/>
        <v>1560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19" t="s">
        <v>114</v>
      </c>
      <c r="B56" s="23" t="s">
        <v>115</v>
      </c>
      <c r="C56" s="57"/>
      <c r="D56" s="54">
        <f>Purchases!V57</f>
        <v>0</v>
      </c>
      <c r="E56" s="55">
        <f>Sales!AG57</f>
        <v>0</v>
      </c>
      <c r="F56" s="56">
        <f t="shared" si="1"/>
        <v>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19" t="s">
        <v>116</v>
      </c>
      <c r="B57" s="23" t="s">
        <v>117</v>
      </c>
      <c r="C57" s="58">
        <v>1140.0</v>
      </c>
      <c r="D57" s="54">
        <f>Purchases!V58</f>
        <v>0</v>
      </c>
      <c r="E57" s="55">
        <f>Sales!AG58</f>
        <v>0</v>
      </c>
      <c r="F57" s="56">
        <f t="shared" si="1"/>
        <v>1140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19" t="s">
        <v>118</v>
      </c>
      <c r="B58" s="23" t="s">
        <v>119</v>
      </c>
      <c r="C58" s="57"/>
      <c r="D58" s="54">
        <f>Purchases!V59</f>
        <v>0</v>
      </c>
      <c r="E58" s="55">
        <f>Sales!AG59</f>
        <v>0</v>
      </c>
      <c r="F58" s="56">
        <f t="shared" si="1"/>
        <v>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19" t="s">
        <v>120</v>
      </c>
      <c r="B59" s="23" t="s">
        <v>121</v>
      </c>
      <c r="C59" s="58">
        <v>1421.0</v>
      </c>
      <c r="D59" s="54">
        <f>Purchases!V60</f>
        <v>0</v>
      </c>
      <c r="E59" s="55">
        <f>Sales!AG60</f>
        <v>0</v>
      </c>
      <c r="F59" s="56">
        <f t="shared" si="1"/>
        <v>1421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19" t="s">
        <v>122</v>
      </c>
      <c r="B60" s="23" t="s">
        <v>123</v>
      </c>
      <c r="C60" s="57"/>
      <c r="D60" s="54">
        <f>Purchases!V61</f>
        <v>0</v>
      </c>
      <c r="E60" s="55">
        <f>Sales!AG61</f>
        <v>0</v>
      </c>
      <c r="F60" s="56">
        <f t="shared" si="1"/>
        <v>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19" t="s">
        <v>124</v>
      </c>
      <c r="B61" s="23" t="s">
        <v>125</v>
      </c>
      <c r="C61" s="58">
        <v>540.0</v>
      </c>
      <c r="D61" s="54">
        <f>Purchases!V63</f>
        <v>0</v>
      </c>
      <c r="E61" s="55">
        <f>Sales!AG62</f>
        <v>120</v>
      </c>
      <c r="F61" s="56">
        <f t="shared" si="1"/>
        <v>420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19" t="s">
        <v>126</v>
      </c>
      <c r="B62" s="23" t="s">
        <v>127</v>
      </c>
      <c r="C62" s="58">
        <v>1000.0</v>
      </c>
      <c r="D62" s="54">
        <f>Purchases!V62</f>
        <v>0</v>
      </c>
      <c r="E62" s="55">
        <f>Sales!AG63</f>
        <v>270</v>
      </c>
      <c r="F62" s="56">
        <f t="shared" si="1"/>
        <v>730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19" t="s">
        <v>128</v>
      </c>
      <c r="B63" s="23" t="s">
        <v>129</v>
      </c>
      <c r="C63" s="58">
        <v>450.0</v>
      </c>
      <c r="D63" s="54">
        <f>Purchases!V64</f>
        <v>0</v>
      </c>
      <c r="E63" s="55">
        <f>Sales!AG64</f>
        <v>30</v>
      </c>
      <c r="F63" s="56">
        <f t="shared" si="1"/>
        <v>420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19" t="s">
        <v>130</v>
      </c>
      <c r="B64" s="23" t="s">
        <v>131</v>
      </c>
      <c r="C64" s="58">
        <v>7220.0</v>
      </c>
      <c r="D64" s="54">
        <f>Purchases!V65</f>
        <v>0</v>
      </c>
      <c r="E64" s="55">
        <f>Sales!AG65</f>
        <v>0</v>
      </c>
      <c r="F64" s="56">
        <f t="shared" si="1"/>
        <v>7220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19" t="s">
        <v>132</v>
      </c>
      <c r="B65" s="23" t="s">
        <v>133</v>
      </c>
      <c r="C65" s="57"/>
      <c r="D65" s="54">
        <f>Purchases!V66</f>
        <v>0</v>
      </c>
      <c r="E65" s="55">
        <f>Sales!AG66</f>
        <v>0</v>
      </c>
      <c r="F65" s="56">
        <f t="shared" si="1"/>
        <v>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19" t="s">
        <v>134</v>
      </c>
      <c r="B66" s="23" t="s">
        <v>135</v>
      </c>
      <c r="C66" s="58">
        <v>236.0</v>
      </c>
      <c r="D66" s="54">
        <f>Purchases!V67</f>
        <v>0</v>
      </c>
      <c r="E66" s="55">
        <f>Sales!AG67</f>
        <v>0</v>
      </c>
      <c r="F66" s="56">
        <f t="shared" si="1"/>
        <v>236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19" t="s">
        <v>136</v>
      </c>
      <c r="B67" s="23" t="s">
        <v>137</v>
      </c>
      <c r="C67" s="58">
        <v>117.0</v>
      </c>
      <c r="D67" s="54">
        <f>Purchases!V68</f>
        <v>0</v>
      </c>
      <c r="E67" s="55">
        <f>Sales!AG68</f>
        <v>0</v>
      </c>
      <c r="F67" s="56">
        <f t="shared" si="1"/>
        <v>117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19" t="s">
        <v>138</v>
      </c>
      <c r="B68" s="23" t="s">
        <v>139</v>
      </c>
      <c r="C68" s="58">
        <v>7.0</v>
      </c>
      <c r="D68" s="54">
        <f>Purchases!V69</f>
        <v>0</v>
      </c>
      <c r="E68" s="55">
        <f>Sales!AG69</f>
        <v>0</v>
      </c>
      <c r="F68" s="56">
        <f t="shared" si="1"/>
        <v>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19" t="s">
        <v>140</v>
      </c>
      <c r="B69" s="23" t="s">
        <v>141</v>
      </c>
      <c r="C69" s="58">
        <v>13.0</v>
      </c>
      <c r="D69" s="54">
        <f>Purchases!V72</f>
        <v>0</v>
      </c>
      <c r="E69" s="55">
        <f>Sales!AG70</f>
        <v>0</v>
      </c>
      <c r="F69" s="56">
        <f t="shared" si="1"/>
        <v>13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19" t="s">
        <v>142</v>
      </c>
      <c r="B70" s="25" t="s">
        <v>143</v>
      </c>
      <c r="C70" s="58">
        <v>118.0</v>
      </c>
      <c r="D70" s="54">
        <f>Purchases!V70</f>
        <v>0</v>
      </c>
      <c r="E70" s="55">
        <f>Sales!AG71</f>
        <v>0</v>
      </c>
      <c r="F70" s="56">
        <f t="shared" si="1"/>
        <v>118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19" t="s">
        <v>144</v>
      </c>
      <c r="B71" s="23" t="s">
        <v>145</v>
      </c>
      <c r="C71" s="64">
        <v>110.0</v>
      </c>
      <c r="D71" s="54">
        <f>Purchases!V71</f>
        <v>0</v>
      </c>
      <c r="E71" s="55">
        <f>Sales!AG72</f>
        <v>0</v>
      </c>
      <c r="F71" s="56">
        <f t="shared" si="1"/>
        <v>110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19" t="s">
        <v>146</v>
      </c>
      <c r="B72" s="23" t="s">
        <v>147</v>
      </c>
      <c r="C72" s="58">
        <v>121.0</v>
      </c>
      <c r="D72" s="54">
        <f>Purchases!V73</f>
        <v>0</v>
      </c>
      <c r="E72" s="55">
        <f>Sales!AG73</f>
        <v>0</v>
      </c>
      <c r="F72" s="56">
        <f t="shared" si="1"/>
        <v>121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19" t="s">
        <v>148</v>
      </c>
      <c r="B73" s="23" t="s">
        <v>149</v>
      </c>
      <c r="C73" s="58">
        <v>193.0</v>
      </c>
      <c r="D73" s="54">
        <f>Purchases!V74</f>
        <v>0</v>
      </c>
      <c r="E73" s="55">
        <f>Sales!AG74</f>
        <v>0</v>
      </c>
      <c r="F73" s="56">
        <f t="shared" si="1"/>
        <v>193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19" t="s">
        <v>150</v>
      </c>
      <c r="B74" s="23" t="s">
        <v>151</v>
      </c>
      <c r="C74" s="58">
        <v>91.0</v>
      </c>
      <c r="D74" s="54">
        <f>Purchases!V75</f>
        <v>0</v>
      </c>
      <c r="E74" s="55">
        <f>Sales!AG75</f>
        <v>0</v>
      </c>
      <c r="F74" s="56">
        <f t="shared" si="1"/>
        <v>91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19" t="s">
        <v>152</v>
      </c>
      <c r="B75" s="23" t="s">
        <v>153</v>
      </c>
      <c r="C75" s="57"/>
      <c r="D75" s="54">
        <f>Purchases!V76</f>
        <v>0</v>
      </c>
      <c r="E75" s="55">
        <f>Sales!AG76</f>
        <v>0</v>
      </c>
      <c r="F75" s="56">
        <f t="shared" si="1"/>
        <v>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19" t="s">
        <v>154</v>
      </c>
      <c r="B76" s="23" t="s">
        <v>155</v>
      </c>
      <c r="C76" s="57"/>
      <c r="D76" s="54">
        <f>Purchases!V77</f>
        <v>0</v>
      </c>
      <c r="E76" s="55">
        <f>Sales!AG77</f>
        <v>0</v>
      </c>
      <c r="F76" s="56">
        <f t="shared" si="1"/>
        <v>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19" t="s">
        <v>156</v>
      </c>
      <c r="B77" s="23" t="s">
        <v>157</v>
      </c>
      <c r="C77" s="58">
        <v>171.0</v>
      </c>
      <c r="D77" s="54">
        <f>Purchases!V78</f>
        <v>0</v>
      </c>
      <c r="E77" s="55">
        <f>Sales!AG78</f>
        <v>0</v>
      </c>
      <c r="F77" s="56">
        <f t="shared" si="1"/>
        <v>171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19" t="s">
        <v>158</v>
      </c>
      <c r="B78" s="23" t="s">
        <v>159</v>
      </c>
      <c r="C78" s="58">
        <v>260.0</v>
      </c>
      <c r="D78" s="54">
        <f>Purchases!V79</f>
        <v>0</v>
      </c>
      <c r="E78" s="55">
        <f>Sales!AG79</f>
        <v>0</v>
      </c>
      <c r="F78" s="56">
        <f t="shared" si="1"/>
        <v>260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19" t="s">
        <v>160</v>
      </c>
      <c r="B79" s="23" t="s">
        <v>161</v>
      </c>
      <c r="C79" s="58">
        <v>119.0</v>
      </c>
      <c r="D79" s="54">
        <f>Purchases!V80</f>
        <v>0</v>
      </c>
      <c r="E79" s="55">
        <f>Sales!AG80</f>
        <v>0</v>
      </c>
      <c r="F79" s="56">
        <f t="shared" si="1"/>
        <v>119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19" t="s">
        <v>162</v>
      </c>
      <c r="B80" s="23" t="s">
        <v>163</v>
      </c>
      <c r="C80" s="58">
        <v>406.0</v>
      </c>
      <c r="D80" s="54">
        <f>Purchases!V81</f>
        <v>0</v>
      </c>
      <c r="E80" s="55">
        <f>Sales!AG81</f>
        <v>0</v>
      </c>
      <c r="F80" s="56">
        <f t="shared" si="1"/>
        <v>406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19" t="s">
        <v>164</v>
      </c>
      <c r="B81" s="23" t="s">
        <v>165</v>
      </c>
      <c r="C81" s="65">
        <v>6.0</v>
      </c>
      <c r="D81" s="54">
        <f>Purchases!V82</f>
        <v>0</v>
      </c>
      <c r="E81" s="55">
        <f>Sales!AG82</f>
        <v>0</v>
      </c>
      <c r="F81" s="56">
        <f t="shared" si="1"/>
        <v>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19" t="s">
        <v>166</v>
      </c>
      <c r="B82" s="23" t="s">
        <v>167</v>
      </c>
      <c r="C82" s="65">
        <v>16.0</v>
      </c>
      <c r="D82" s="54">
        <f>Purchases!V83</f>
        <v>0</v>
      </c>
      <c r="E82" s="55">
        <f>Sales!AG83</f>
        <v>0</v>
      </c>
      <c r="F82" s="56">
        <f t="shared" si="1"/>
        <v>16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19" t="s">
        <v>168</v>
      </c>
      <c r="B83" s="23" t="s">
        <v>169</v>
      </c>
      <c r="C83" s="53">
        <v>20.0</v>
      </c>
      <c r="D83" s="54">
        <f>Purchases!V85</f>
        <v>0</v>
      </c>
      <c r="E83" s="55">
        <f>Sales!AG84</f>
        <v>0</v>
      </c>
      <c r="F83" s="56">
        <f t="shared" si="1"/>
        <v>20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19" t="s">
        <v>170</v>
      </c>
      <c r="B84" s="23" t="s">
        <v>171</v>
      </c>
      <c r="C84" s="53">
        <v>20.0</v>
      </c>
      <c r="D84" s="54">
        <f>Purchases!V84</f>
        <v>0</v>
      </c>
      <c r="E84" s="55">
        <f>Sales!AG85</f>
        <v>0</v>
      </c>
      <c r="F84" s="56">
        <f t="shared" si="1"/>
        <v>20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19" t="s">
        <v>172</v>
      </c>
      <c r="B85" s="23" t="s">
        <v>173</v>
      </c>
      <c r="C85" s="53">
        <v>240.0</v>
      </c>
      <c r="D85" s="54">
        <f>Purchases!V86</f>
        <v>0</v>
      </c>
      <c r="E85" s="55">
        <f>Sales!AG86</f>
        <v>0</v>
      </c>
      <c r="F85" s="56">
        <f t="shared" si="1"/>
        <v>240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19" t="s">
        <v>174</v>
      </c>
      <c r="B86" s="23" t="s">
        <v>175</v>
      </c>
      <c r="C86" s="53">
        <v>260.0</v>
      </c>
      <c r="D86" s="54">
        <f>Purchases!V87</f>
        <v>0</v>
      </c>
      <c r="E86" s="55">
        <f>Sales!AG87</f>
        <v>0</v>
      </c>
      <c r="F86" s="56">
        <f t="shared" si="1"/>
        <v>260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19" t="s">
        <v>176</v>
      </c>
      <c r="B87" s="23" t="s">
        <v>177</v>
      </c>
      <c r="C87" s="53">
        <v>16.0</v>
      </c>
      <c r="D87" s="54">
        <f>Purchases!V88</f>
        <v>0</v>
      </c>
      <c r="E87" s="55">
        <f>Sales!AG88</f>
        <v>0</v>
      </c>
      <c r="F87" s="56">
        <f t="shared" si="1"/>
        <v>16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19" t="s">
        <v>178</v>
      </c>
      <c r="B88" s="23" t="s">
        <v>179</v>
      </c>
      <c r="C88" s="53">
        <v>48.0</v>
      </c>
      <c r="D88" s="54">
        <f>Purchases!V89</f>
        <v>0</v>
      </c>
      <c r="E88" s="55">
        <f>Sales!AG89</f>
        <v>0</v>
      </c>
      <c r="F88" s="56">
        <f t="shared" si="1"/>
        <v>48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19" t="s">
        <v>180</v>
      </c>
      <c r="B89" s="23" t="s">
        <v>181</v>
      </c>
      <c r="C89" s="53">
        <v>48.0</v>
      </c>
      <c r="D89" s="54">
        <f>Purchases!V90</f>
        <v>0</v>
      </c>
      <c r="E89" s="55">
        <f>Sales!AG90</f>
        <v>0</v>
      </c>
      <c r="F89" s="56">
        <f t="shared" si="1"/>
        <v>48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19" t="s">
        <v>182</v>
      </c>
      <c r="B90" s="23" t="s">
        <v>183</v>
      </c>
      <c r="C90" s="53">
        <v>80.0</v>
      </c>
      <c r="D90" s="54">
        <f>Purchases!V91</f>
        <v>0</v>
      </c>
      <c r="E90" s="55">
        <f>Sales!AG91</f>
        <v>0</v>
      </c>
      <c r="F90" s="56">
        <f t="shared" si="1"/>
        <v>80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19" t="s">
        <v>184</v>
      </c>
      <c r="B91" s="23" t="s">
        <v>185</v>
      </c>
      <c r="C91" s="53">
        <v>225.0</v>
      </c>
      <c r="D91" s="54">
        <f>Purchases!V92</f>
        <v>0</v>
      </c>
      <c r="E91" s="55">
        <f>Sales!AG92</f>
        <v>0</v>
      </c>
      <c r="F91" s="56">
        <f t="shared" si="1"/>
        <v>225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19" t="s">
        <v>186</v>
      </c>
      <c r="B92" s="23" t="s">
        <v>187</v>
      </c>
      <c r="C92" s="53">
        <v>36.0</v>
      </c>
      <c r="D92" s="54">
        <f>Purchases!V93</f>
        <v>0</v>
      </c>
      <c r="E92" s="55">
        <f>Sales!AG93</f>
        <v>0</v>
      </c>
      <c r="F92" s="56">
        <f t="shared" si="1"/>
        <v>36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25" t="s">
        <v>9</v>
      </c>
      <c r="C93" s="66"/>
      <c r="D93" s="15"/>
      <c r="E93" s="46"/>
      <c r="F93" s="4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66"/>
      <c r="D94" s="15"/>
      <c r="E94" s="46"/>
      <c r="F94" s="4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66"/>
      <c r="D95" s="15"/>
      <c r="E95" s="46"/>
      <c r="F95" s="4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66"/>
      <c r="D96" s="15"/>
      <c r="E96" s="46"/>
      <c r="F96" s="4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66"/>
      <c r="D97" s="15"/>
      <c r="E97" s="46"/>
      <c r="F97" s="4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66"/>
      <c r="D98" s="15"/>
      <c r="E98" s="46"/>
      <c r="F98" s="4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66"/>
      <c r="D99" s="15"/>
      <c r="E99" s="46"/>
      <c r="F99" s="4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66"/>
      <c r="D100" s="15"/>
      <c r="E100" s="46"/>
      <c r="F100" s="4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66"/>
      <c r="D101" s="15"/>
      <c r="E101" s="46"/>
      <c r="F101" s="47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66"/>
      <c r="D102" s="15"/>
      <c r="E102" s="46"/>
      <c r="F102" s="4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66"/>
      <c r="D103" s="15"/>
      <c r="E103" s="46"/>
      <c r="F103" s="4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66"/>
      <c r="D104" s="15"/>
      <c r="E104" s="46"/>
      <c r="F104" s="4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66"/>
      <c r="D105" s="15"/>
      <c r="E105" s="46"/>
      <c r="F105" s="4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66"/>
      <c r="D106" s="15"/>
      <c r="E106" s="46"/>
      <c r="F106" s="4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66"/>
      <c r="D107" s="15"/>
      <c r="E107" s="46"/>
      <c r="F107" s="47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66"/>
      <c r="D108" s="15"/>
      <c r="E108" s="46"/>
      <c r="F108" s="4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66"/>
      <c r="D109" s="15"/>
      <c r="E109" s="46"/>
      <c r="F109" s="47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66"/>
      <c r="D110" s="15"/>
      <c r="E110" s="46"/>
      <c r="F110" s="4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66"/>
      <c r="D111" s="15"/>
      <c r="E111" s="46"/>
      <c r="F111" s="4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66"/>
      <c r="D112" s="15"/>
      <c r="E112" s="46"/>
      <c r="F112" s="4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66"/>
      <c r="D113" s="15"/>
      <c r="E113" s="46"/>
      <c r="F113" s="47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66"/>
      <c r="D114" s="15"/>
      <c r="E114" s="46"/>
      <c r="F114" s="4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66"/>
      <c r="D115" s="15"/>
      <c r="E115" s="46"/>
      <c r="F115" s="4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66"/>
      <c r="D116" s="15"/>
      <c r="E116" s="46"/>
      <c r="F116" s="4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66"/>
      <c r="D117" s="15"/>
      <c r="E117" s="46"/>
      <c r="F117" s="4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66"/>
      <c r="D118" s="15"/>
      <c r="E118" s="46"/>
      <c r="F118" s="4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66"/>
      <c r="D119" s="15"/>
      <c r="E119" s="46"/>
      <c r="F119" s="4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66"/>
      <c r="D120" s="15"/>
      <c r="E120" s="46"/>
      <c r="F120" s="4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66"/>
      <c r="D121" s="15"/>
      <c r="E121" s="46"/>
      <c r="F121" s="4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66"/>
      <c r="D122" s="15"/>
      <c r="E122" s="46"/>
      <c r="F122" s="4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66"/>
      <c r="D123" s="15"/>
      <c r="E123" s="46"/>
      <c r="F123" s="4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66"/>
      <c r="D124" s="15"/>
      <c r="E124" s="46"/>
      <c r="F124" s="4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66"/>
      <c r="D125" s="15"/>
      <c r="E125" s="46"/>
      <c r="F125" s="4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66"/>
      <c r="D126" s="15"/>
      <c r="E126" s="46"/>
      <c r="F126" s="4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66"/>
      <c r="D127" s="15"/>
      <c r="E127" s="46"/>
      <c r="F127" s="4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66"/>
      <c r="D128" s="15"/>
      <c r="E128" s="46"/>
      <c r="F128" s="47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66"/>
      <c r="D129" s="15"/>
      <c r="E129" s="46"/>
      <c r="F129" s="47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66"/>
      <c r="D130" s="15"/>
      <c r="E130" s="46"/>
      <c r="F130" s="47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66"/>
      <c r="D131" s="15"/>
      <c r="E131" s="46"/>
      <c r="F131" s="4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66"/>
      <c r="D132" s="15"/>
      <c r="E132" s="46"/>
      <c r="F132" s="4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66"/>
      <c r="D133" s="15"/>
      <c r="E133" s="46"/>
      <c r="F133" s="47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66"/>
      <c r="D134" s="15"/>
      <c r="E134" s="46"/>
      <c r="F134" s="4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66"/>
      <c r="D135" s="15"/>
      <c r="E135" s="46"/>
      <c r="F135" s="4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66"/>
      <c r="D136" s="15"/>
      <c r="E136" s="46"/>
      <c r="F136" s="4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66"/>
      <c r="D137" s="15"/>
      <c r="E137" s="46"/>
      <c r="F137" s="47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66"/>
      <c r="D138" s="15"/>
      <c r="E138" s="46"/>
      <c r="F138" s="4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66"/>
      <c r="D139" s="15"/>
      <c r="E139" s="46"/>
      <c r="F139" s="47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66"/>
      <c r="D140" s="15"/>
      <c r="E140" s="46"/>
      <c r="F140" s="4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66"/>
      <c r="D141" s="15"/>
      <c r="E141" s="46"/>
      <c r="F141" s="47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66"/>
      <c r="D142" s="15"/>
      <c r="E142" s="46"/>
      <c r="F142" s="4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66"/>
      <c r="D143" s="15"/>
      <c r="E143" s="46"/>
      <c r="F143" s="4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66"/>
      <c r="D144" s="15"/>
      <c r="E144" s="46"/>
      <c r="F144" s="4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66"/>
      <c r="D145" s="15"/>
      <c r="E145" s="46"/>
      <c r="F145" s="47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66"/>
      <c r="D146" s="15"/>
      <c r="E146" s="46"/>
      <c r="F146" s="47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66"/>
      <c r="D147" s="15"/>
      <c r="E147" s="46"/>
      <c r="F147" s="4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66"/>
      <c r="D148" s="15"/>
      <c r="E148" s="46"/>
      <c r="F148" s="47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66"/>
      <c r="D149" s="15"/>
      <c r="E149" s="46"/>
      <c r="F149" s="47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66"/>
      <c r="D150" s="15"/>
      <c r="E150" s="46"/>
      <c r="F150" s="4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66"/>
      <c r="D151" s="15"/>
      <c r="E151" s="46"/>
      <c r="F151" s="47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66"/>
      <c r="D152" s="15"/>
      <c r="E152" s="46"/>
      <c r="F152" s="47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66"/>
      <c r="D153" s="15"/>
      <c r="E153" s="46"/>
      <c r="F153" s="4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66"/>
      <c r="D154" s="15"/>
      <c r="E154" s="46"/>
      <c r="F154" s="47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66"/>
      <c r="D155" s="15"/>
      <c r="E155" s="46"/>
      <c r="F155" s="47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66"/>
      <c r="D156" s="15"/>
      <c r="E156" s="46"/>
      <c r="F156" s="4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66"/>
      <c r="D157" s="15"/>
      <c r="E157" s="46"/>
      <c r="F157" s="4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66"/>
      <c r="D158" s="15"/>
      <c r="E158" s="46"/>
      <c r="F158" s="4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66"/>
      <c r="D159" s="15"/>
      <c r="E159" s="46"/>
      <c r="F159" s="4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66"/>
      <c r="D160" s="15"/>
      <c r="E160" s="46"/>
      <c r="F160" s="4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66"/>
      <c r="D161" s="15"/>
      <c r="E161" s="46"/>
      <c r="F161" s="4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66"/>
      <c r="D162" s="15"/>
      <c r="E162" s="46"/>
      <c r="F162" s="4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66"/>
      <c r="D163" s="15"/>
      <c r="E163" s="46"/>
      <c r="F163" s="4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66"/>
      <c r="D164" s="15"/>
      <c r="E164" s="46"/>
      <c r="F164" s="4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66"/>
      <c r="D165" s="15"/>
      <c r="E165" s="46"/>
      <c r="F165" s="4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66"/>
      <c r="D166" s="15"/>
      <c r="E166" s="46"/>
      <c r="F166" s="4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66"/>
      <c r="D167" s="15"/>
      <c r="E167" s="46"/>
      <c r="F167" s="4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66"/>
      <c r="D168" s="15"/>
      <c r="E168" s="46"/>
      <c r="F168" s="4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66"/>
      <c r="D169" s="15"/>
      <c r="E169" s="46"/>
      <c r="F169" s="4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66"/>
      <c r="D170" s="15"/>
      <c r="E170" s="46"/>
      <c r="F170" s="4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66"/>
      <c r="D171" s="15"/>
      <c r="E171" s="46"/>
      <c r="F171" s="4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66"/>
      <c r="D172" s="15"/>
      <c r="E172" s="46"/>
      <c r="F172" s="4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66"/>
      <c r="D173" s="15"/>
      <c r="E173" s="46"/>
      <c r="F173" s="4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66"/>
      <c r="D174" s="15"/>
      <c r="E174" s="46"/>
      <c r="F174" s="4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66"/>
      <c r="D175" s="15"/>
      <c r="E175" s="46"/>
      <c r="F175" s="4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66"/>
      <c r="D176" s="15"/>
      <c r="E176" s="46"/>
      <c r="F176" s="4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66"/>
      <c r="D177" s="15"/>
      <c r="E177" s="46"/>
      <c r="F177" s="4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66"/>
      <c r="D178" s="15"/>
      <c r="E178" s="46"/>
      <c r="F178" s="4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66"/>
      <c r="D179" s="15"/>
      <c r="E179" s="46"/>
      <c r="F179" s="4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66"/>
      <c r="D180" s="15"/>
      <c r="E180" s="46"/>
      <c r="F180" s="4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66"/>
      <c r="D181" s="15"/>
      <c r="E181" s="46"/>
      <c r="F181" s="4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66"/>
      <c r="D182" s="15"/>
      <c r="E182" s="46"/>
      <c r="F182" s="4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66"/>
      <c r="D183" s="15"/>
      <c r="E183" s="46"/>
      <c r="F183" s="4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66"/>
      <c r="D184" s="15"/>
      <c r="E184" s="46"/>
      <c r="F184" s="4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66"/>
      <c r="D185" s="15"/>
      <c r="E185" s="46"/>
      <c r="F185" s="4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66"/>
      <c r="D186" s="15"/>
      <c r="E186" s="46"/>
      <c r="F186" s="4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66"/>
      <c r="D187" s="15"/>
      <c r="E187" s="46"/>
      <c r="F187" s="4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66"/>
      <c r="D188" s="15"/>
      <c r="E188" s="46"/>
      <c r="F188" s="4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66"/>
      <c r="D189" s="15"/>
      <c r="E189" s="46"/>
      <c r="F189" s="4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66"/>
      <c r="D190" s="15"/>
      <c r="E190" s="46"/>
      <c r="F190" s="4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66"/>
      <c r="D191" s="15"/>
      <c r="E191" s="46"/>
      <c r="F191" s="4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66"/>
      <c r="D192" s="15"/>
      <c r="E192" s="46"/>
      <c r="F192" s="4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66"/>
      <c r="D193" s="15"/>
      <c r="E193" s="46"/>
      <c r="F193" s="4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66"/>
      <c r="D194" s="15"/>
      <c r="E194" s="46"/>
      <c r="F194" s="4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66"/>
      <c r="D195" s="15"/>
      <c r="E195" s="46"/>
      <c r="F195" s="4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66"/>
      <c r="D196" s="15"/>
      <c r="E196" s="46"/>
      <c r="F196" s="4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66"/>
      <c r="D197" s="15"/>
      <c r="E197" s="46"/>
      <c r="F197" s="4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66"/>
      <c r="D198" s="15"/>
      <c r="E198" s="46"/>
      <c r="F198" s="4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66"/>
      <c r="D199" s="15"/>
      <c r="E199" s="46"/>
      <c r="F199" s="4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66"/>
      <c r="D200" s="15"/>
      <c r="E200" s="46"/>
      <c r="F200" s="4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66"/>
      <c r="D201" s="15"/>
      <c r="E201" s="46"/>
      <c r="F201" s="4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66"/>
      <c r="D202" s="15"/>
      <c r="E202" s="46"/>
      <c r="F202" s="4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66"/>
      <c r="D203" s="15"/>
      <c r="E203" s="46"/>
      <c r="F203" s="4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66"/>
      <c r="D204" s="15"/>
      <c r="E204" s="46"/>
      <c r="F204" s="4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66"/>
      <c r="D205" s="15"/>
      <c r="E205" s="46"/>
      <c r="F205" s="4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66"/>
      <c r="D206" s="15"/>
      <c r="E206" s="46"/>
      <c r="F206" s="4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66"/>
      <c r="D207" s="15"/>
      <c r="E207" s="46"/>
      <c r="F207" s="4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66"/>
      <c r="D208" s="15"/>
      <c r="E208" s="46"/>
      <c r="F208" s="4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66"/>
      <c r="D209" s="15"/>
      <c r="E209" s="46"/>
      <c r="F209" s="4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66"/>
      <c r="D210" s="15"/>
      <c r="E210" s="46"/>
      <c r="F210" s="4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66"/>
      <c r="D211" s="15"/>
      <c r="E211" s="46"/>
      <c r="F211" s="4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66"/>
      <c r="D212" s="15"/>
      <c r="E212" s="46"/>
      <c r="F212" s="4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66"/>
      <c r="D213" s="15"/>
      <c r="E213" s="46"/>
      <c r="F213" s="4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66"/>
      <c r="D214" s="15"/>
      <c r="E214" s="46"/>
      <c r="F214" s="4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66"/>
      <c r="D215" s="15"/>
      <c r="E215" s="46"/>
      <c r="F215" s="4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66"/>
      <c r="D216" s="15"/>
      <c r="E216" s="46"/>
      <c r="F216" s="4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66"/>
      <c r="D217" s="15"/>
      <c r="E217" s="46"/>
      <c r="F217" s="4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66"/>
      <c r="D218" s="15"/>
      <c r="E218" s="46"/>
      <c r="F218" s="4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66"/>
      <c r="D219" s="15"/>
      <c r="E219" s="46"/>
      <c r="F219" s="4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66"/>
      <c r="D220" s="15"/>
      <c r="E220" s="46"/>
      <c r="F220" s="4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66"/>
      <c r="D221" s="15"/>
      <c r="E221" s="46"/>
      <c r="F221" s="4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66"/>
      <c r="D222" s="15"/>
      <c r="E222" s="46"/>
      <c r="F222" s="4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66"/>
      <c r="D223" s="15"/>
      <c r="E223" s="46"/>
      <c r="F223" s="4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66"/>
      <c r="D224" s="15"/>
      <c r="E224" s="46"/>
      <c r="F224" s="4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66"/>
      <c r="D225" s="15"/>
      <c r="E225" s="46"/>
      <c r="F225" s="4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66"/>
      <c r="D226" s="15"/>
      <c r="E226" s="46"/>
      <c r="F226" s="4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66"/>
      <c r="D227" s="15"/>
      <c r="E227" s="46"/>
      <c r="F227" s="4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66"/>
      <c r="D228" s="15"/>
      <c r="E228" s="46"/>
      <c r="F228" s="4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66"/>
      <c r="D229" s="15"/>
      <c r="E229" s="46"/>
      <c r="F229" s="47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66"/>
      <c r="D230" s="15"/>
      <c r="E230" s="46"/>
      <c r="F230" s="4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66"/>
      <c r="D231" s="15"/>
      <c r="E231" s="46"/>
      <c r="F231" s="4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66"/>
      <c r="D232" s="15"/>
      <c r="E232" s="46"/>
      <c r="F232" s="4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66"/>
      <c r="D233" s="15"/>
      <c r="E233" s="46"/>
      <c r="F233" s="47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66"/>
      <c r="D234" s="15"/>
      <c r="E234" s="46"/>
      <c r="F234" s="47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66"/>
      <c r="D235" s="15"/>
      <c r="E235" s="46"/>
      <c r="F235" s="47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66"/>
      <c r="D236" s="15"/>
      <c r="E236" s="46"/>
      <c r="F236" s="47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66"/>
      <c r="D237" s="15"/>
      <c r="E237" s="46"/>
      <c r="F237" s="47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66"/>
      <c r="D238" s="15"/>
      <c r="E238" s="46"/>
      <c r="F238" s="47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66"/>
      <c r="D239" s="15"/>
      <c r="E239" s="46"/>
      <c r="F239" s="47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66"/>
      <c r="D240" s="15"/>
      <c r="E240" s="46"/>
      <c r="F240" s="4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66"/>
      <c r="D241" s="15"/>
      <c r="E241" s="46"/>
      <c r="F241" s="47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66"/>
      <c r="D242" s="15"/>
      <c r="E242" s="46"/>
      <c r="F242" s="47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66"/>
      <c r="D243" s="15"/>
      <c r="E243" s="46"/>
      <c r="F243" s="47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66"/>
      <c r="D244" s="15"/>
      <c r="E244" s="46"/>
      <c r="F244" s="47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66"/>
      <c r="D245" s="15"/>
      <c r="E245" s="46"/>
      <c r="F245" s="47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66"/>
      <c r="D246" s="15"/>
      <c r="E246" s="46"/>
      <c r="F246" s="47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66"/>
      <c r="D247" s="15"/>
      <c r="E247" s="46"/>
      <c r="F247" s="47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66"/>
      <c r="D248" s="15"/>
      <c r="E248" s="46"/>
      <c r="F248" s="47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66"/>
      <c r="D249" s="15"/>
      <c r="E249" s="46"/>
      <c r="F249" s="47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66"/>
      <c r="D250" s="15"/>
      <c r="E250" s="46"/>
      <c r="F250" s="47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66"/>
      <c r="D251" s="15"/>
      <c r="E251" s="46"/>
      <c r="F251" s="47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66"/>
      <c r="D252" s="15"/>
      <c r="E252" s="46"/>
      <c r="F252" s="47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66"/>
      <c r="D253" s="15"/>
      <c r="E253" s="46"/>
      <c r="F253" s="47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66"/>
      <c r="D254" s="15"/>
      <c r="E254" s="46"/>
      <c r="F254" s="47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66"/>
      <c r="D255" s="15"/>
      <c r="E255" s="46"/>
      <c r="F255" s="47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66"/>
      <c r="D256" s="15"/>
      <c r="E256" s="46"/>
      <c r="F256" s="47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66"/>
      <c r="D257" s="15"/>
      <c r="E257" s="46"/>
      <c r="F257" s="47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66"/>
      <c r="D258" s="15"/>
      <c r="E258" s="46"/>
      <c r="F258" s="47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66"/>
      <c r="D259" s="15"/>
      <c r="E259" s="46"/>
      <c r="F259" s="47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66"/>
      <c r="D260" s="15"/>
      <c r="E260" s="46"/>
      <c r="F260" s="47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66"/>
      <c r="D261" s="15"/>
      <c r="E261" s="46"/>
      <c r="F261" s="47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66"/>
      <c r="D262" s="15"/>
      <c r="E262" s="46"/>
      <c r="F262" s="4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66"/>
      <c r="D263" s="15"/>
      <c r="E263" s="46"/>
      <c r="F263" s="47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66"/>
      <c r="D264" s="15"/>
      <c r="E264" s="46"/>
      <c r="F264" s="47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66"/>
      <c r="D265" s="15"/>
      <c r="E265" s="46"/>
      <c r="F265" s="47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66"/>
      <c r="D266" s="15"/>
      <c r="E266" s="46"/>
      <c r="F266" s="47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66"/>
      <c r="D267" s="15"/>
      <c r="E267" s="46"/>
      <c r="F267" s="47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66"/>
      <c r="D268" s="15"/>
      <c r="E268" s="46"/>
      <c r="F268" s="47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66"/>
      <c r="D269" s="15"/>
      <c r="E269" s="46"/>
      <c r="F269" s="47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66"/>
      <c r="D270" s="15"/>
      <c r="E270" s="46"/>
      <c r="F270" s="47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66"/>
      <c r="D271" s="15"/>
      <c r="E271" s="46"/>
      <c r="F271" s="47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66"/>
      <c r="D272" s="15"/>
      <c r="E272" s="46"/>
      <c r="F272" s="47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66"/>
      <c r="D273" s="15"/>
      <c r="E273" s="46"/>
      <c r="F273" s="47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66"/>
      <c r="D274" s="15"/>
      <c r="E274" s="46"/>
      <c r="F274" s="47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66"/>
      <c r="D275" s="15"/>
      <c r="E275" s="46"/>
      <c r="F275" s="47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66"/>
      <c r="D276" s="15"/>
      <c r="E276" s="46"/>
      <c r="F276" s="47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66"/>
      <c r="D277" s="15"/>
      <c r="E277" s="46"/>
      <c r="F277" s="47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66"/>
      <c r="D278" s="15"/>
      <c r="E278" s="46"/>
      <c r="F278" s="47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66"/>
      <c r="D279" s="15"/>
      <c r="E279" s="46"/>
      <c r="F279" s="47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66"/>
      <c r="D280" s="15"/>
      <c r="E280" s="46"/>
      <c r="F280" s="47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66"/>
      <c r="D281" s="15"/>
      <c r="E281" s="46"/>
      <c r="F281" s="47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66"/>
      <c r="D282" s="15"/>
      <c r="E282" s="46"/>
      <c r="F282" s="47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66"/>
      <c r="D283" s="15"/>
      <c r="E283" s="46"/>
      <c r="F283" s="47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66"/>
      <c r="D284" s="15"/>
      <c r="E284" s="46"/>
      <c r="F284" s="47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66"/>
      <c r="D285" s="15"/>
      <c r="E285" s="46"/>
      <c r="F285" s="47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66"/>
      <c r="D286" s="15"/>
      <c r="E286" s="46"/>
      <c r="F286" s="47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66"/>
      <c r="D287" s="15"/>
      <c r="E287" s="46"/>
      <c r="F287" s="47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66"/>
      <c r="D288" s="15"/>
      <c r="E288" s="46"/>
      <c r="F288" s="47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66"/>
      <c r="D289" s="15"/>
      <c r="E289" s="46"/>
      <c r="F289" s="47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66"/>
      <c r="D290" s="15"/>
      <c r="E290" s="46"/>
      <c r="F290" s="47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66"/>
      <c r="D291" s="15"/>
      <c r="E291" s="46"/>
      <c r="F291" s="47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66"/>
      <c r="D292" s="15"/>
      <c r="E292" s="46"/>
      <c r="F292" s="47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66"/>
      <c r="D293" s="15"/>
      <c r="E293" s="46"/>
      <c r="F293" s="47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66"/>
      <c r="D294" s="15"/>
      <c r="E294" s="46"/>
      <c r="F294" s="47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66"/>
      <c r="D295" s="15"/>
      <c r="E295" s="46"/>
      <c r="F295" s="47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66"/>
      <c r="D296" s="15"/>
      <c r="E296" s="46"/>
      <c r="F296" s="47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66"/>
      <c r="D297" s="15"/>
      <c r="E297" s="46"/>
      <c r="F297" s="47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66"/>
      <c r="D298" s="15"/>
      <c r="E298" s="46"/>
      <c r="F298" s="47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66"/>
      <c r="D299" s="15"/>
      <c r="E299" s="46"/>
      <c r="F299" s="47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66"/>
      <c r="D300" s="15"/>
      <c r="E300" s="46"/>
      <c r="F300" s="47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66"/>
      <c r="D301" s="15"/>
      <c r="E301" s="46"/>
      <c r="F301" s="47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66"/>
      <c r="D302" s="15"/>
      <c r="E302" s="46"/>
      <c r="F302" s="47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66"/>
      <c r="D303" s="15"/>
      <c r="E303" s="46"/>
      <c r="F303" s="47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66"/>
      <c r="D304" s="15"/>
      <c r="E304" s="46"/>
      <c r="F304" s="47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66"/>
      <c r="D305" s="15"/>
      <c r="E305" s="46"/>
      <c r="F305" s="47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66"/>
      <c r="D306" s="15"/>
      <c r="E306" s="46"/>
      <c r="F306" s="47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66"/>
      <c r="D307" s="15"/>
      <c r="E307" s="46"/>
      <c r="F307" s="47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66"/>
      <c r="D308" s="15"/>
      <c r="E308" s="46"/>
      <c r="F308" s="47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66"/>
      <c r="D309" s="15"/>
      <c r="E309" s="46"/>
      <c r="F309" s="47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66"/>
      <c r="D310" s="15"/>
      <c r="E310" s="46"/>
      <c r="F310" s="47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66"/>
      <c r="D311" s="15"/>
      <c r="E311" s="46"/>
      <c r="F311" s="47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66"/>
      <c r="D312" s="15"/>
      <c r="E312" s="46"/>
      <c r="F312" s="47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66"/>
      <c r="D313" s="15"/>
      <c r="E313" s="46"/>
      <c r="F313" s="47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66"/>
      <c r="D314" s="15"/>
      <c r="E314" s="46"/>
      <c r="F314" s="47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66"/>
      <c r="D315" s="15"/>
      <c r="E315" s="46"/>
      <c r="F315" s="47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66"/>
      <c r="D316" s="15"/>
      <c r="E316" s="46"/>
      <c r="F316" s="47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66"/>
      <c r="D317" s="15"/>
      <c r="E317" s="46"/>
      <c r="F317" s="47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66"/>
      <c r="D318" s="15"/>
      <c r="E318" s="46"/>
      <c r="F318" s="47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66"/>
      <c r="D319" s="15"/>
      <c r="E319" s="46"/>
      <c r="F319" s="47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66"/>
      <c r="D320" s="15"/>
      <c r="E320" s="46"/>
      <c r="F320" s="47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66"/>
      <c r="D321" s="15"/>
      <c r="E321" s="46"/>
      <c r="F321" s="47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66"/>
      <c r="D322" s="15"/>
      <c r="E322" s="46"/>
      <c r="F322" s="47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66"/>
      <c r="D323" s="15"/>
      <c r="E323" s="46"/>
      <c r="F323" s="47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66"/>
      <c r="D324" s="15"/>
      <c r="E324" s="46"/>
      <c r="F324" s="47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66"/>
      <c r="D325" s="15"/>
      <c r="E325" s="46"/>
      <c r="F325" s="47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66"/>
      <c r="D326" s="15"/>
      <c r="E326" s="46"/>
      <c r="F326" s="47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66"/>
      <c r="D327" s="15"/>
      <c r="E327" s="46"/>
      <c r="F327" s="47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66"/>
      <c r="D328" s="15"/>
      <c r="E328" s="46"/>
      <c r="F328" s="47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66"/>
      <c r="D329" s="15"/>
      <c r="E329" s="46"/>
      <c r="F329" s="47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66"/>
      <c r="D330" s="15"/>
      <c r="E330" s="46"/>
      <c r="F330" s="47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66"/>
      <c r="D331" s="15"/>
      <c r="E331" s="46"/>
      <c r="F331" s="47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66"/>
      <c r="D332" s="15"/>
      <c r="E332" s="46"/>
      <c r="F332" s="47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66"/>
      <c r="D333" s="15"/>
      <c r="E333" s="46"/>
      <c r="F333" s="47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66"/>
      <c r="D334" s="15"/>
      <c r="E334" s="46"/>
      <c r="F334" s="47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66"/>
      <c r="D335" s="15"/>
      <c r="E335" s="46"/>
      <c r="F335" s="47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66"/>
      <c r="D336" s="15"/>
      <c r="E336" s="46"/>
      <c r="F336" s="47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66"/>
      <c r="D337" s="15"/>
      <c r="E337" s="46"/>
      <c r="F337" s="47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66"/>
      <c r="D338" s="15"/>
      <c r="E338" s="46"/>
      <c r="F338" s="47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66"/>
      <c r="D339" s="15"/>
      <c r="E339" s="46"/>
      <c r="F339" s="47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66"/>
      <c r="D340" s="15"/>
      <c r="E340" s="46"/>
      <c r="F340" s="47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66"/>
      <c r="D341" s="15"/>
      <c r="E341" s="46"/>
      <c r="F341" s="47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66"/>
      <c r="D342" s="15"/>
      <c r="E342" s="46"/>
      <c r="F342" s="47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66"/>
      <c r="D343" s="15"/>
      <c r="E343" s="46"/>
      <c r="F343" s="47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66"/>
      <c r="D344" s="15"/>
      <c r="E344" s="46"/>
      <c r="F344" s="47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66"/>
      <c r="D345" s="15"/>
      <c r="E345" s="46"/>
      <c r="F345" s="47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66"/>
      <c r="D346" s="15"/>
      <c r="E346" s="46"/>
      <c r="F346" s="47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66"/>
      <c r="D347" s="15"/>
      <c r="E347" s="46"/>
      <c r="F347" s="47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66"/>
      <c r="D348" s="15"/>
      <c r="E348" s="46"/>
      <c r="F348" s="47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66"/>
      <c r="D349" s="15"/>
      <c r="E349" s="46"/>
      <c r="F349" s="47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66"/>
      <c r="D350" s="15"/>
      <c r="E350" s="46"/>
      <c r="F350" s="47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66"/>
      <c r="D351" s="15"/>
      <c r="E351" s="46"/>
      <c r="F351" s="47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66"/>
      <c r="D352" s="15"/>
      <c r="E352" s="46"/>
      <c r="F352" s="47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66"/>
      <c r="D353" s="15"/>
      <c r="E353" s="46"/>
      <c r="F353" s="47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66"/>
      <c r="D354" s="15"/>
      <c r="E354" s="46"/>
      <c r="F354" s="4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66"/>
      <c r="D355" s="15"/>
      <c r="E355" s="46"/>
      <c r="F355" s="47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66"/>
      <c r="D356" s="15"/>
      <c r="E356" s="46"/>
      <c r="F356" s="47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66"/>
      <c r="D357" s="15"/>
      <c r="E357" s="46"/>
      <c r="F357" s="47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66"/>
      <c r="D358" s="15"/>
      <c r="E358" s="46"/>
      <c r="F358" s="47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66"/>
      <c r="D359" s="15"/>
      <c r="E359" s="46"/>
      <c r="F359" s="47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66"/>
      <c r="D360" s="15"/>
      <c r="E360" s="46"/>
      <c r="F360" s="47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66"/>
      <c r="D361" s="15"/>
      <c r="E361" s="46"/>
      <c r="F361" s="47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66"/>
      <c r="D362" s="15"/>
      <c r="E362" s="46"/>
      <c r="F362" s="47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66"/>
      <c r="D363" s="15"/>
      <c r="E363" s="46"/>
      <c r="F363" s="47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66"/>
      <c r="D364" s="15"/>
      <c r="E364" s="46"/>
      <c r="F364" s="47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66"/>
      <c r="D365" s="15"/>
      <c r="E365" s="46"/>
      <c r="F365" s="47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66"/>
      <c r="D366" s="15"/>
      <c r="E366" s="46"/>
      <c r="F366" s="47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66"/>
      <c r="D367" s="15"/>
      <c r="E367" s="46"/>
      <c r="F367" s="47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66"/>
      <c r="D368" s="15"/>
      <c r="E368" s="46"/>
      <c r="F368" s="47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66"/>
      <c r="D369" s="15"/>
      <c r="E369" s="46"/>
      <c r="F369" s="47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66"/>
      <c r="D370" s="15"/>
      <c r="E370" s="46"/>
      <c r="F370" s="47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66"/>
      <c r="D371" s="15"/>
      <c r="E371" s="46"/>
      <c r="F371" s="47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66"/>
      <c r="D372" s="15"/>
      <c r="E372" s="46"/>
      <c r="F372" s="47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66"/>
      <c r="D373" s="15"/>
      <c r="E373" s="46"/>
      <c r="F373" s="47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66"/>
      <c r="D374" s="15"/>
      <c r="E374" s="46"/>
      <c r="F374" s="47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66"/>
      <c r="D375" s="15"/>
      <c r="E375" s="46"/>
      <c r="F375" s="47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66"/>
      <c r="D376" s="15"/>
      <c r="E376" s="46"/>
      <c r="F376" s="47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66"/>
      <c r="D377" s="15"/>
      <c r="E377" s="46"/>
      <c r="F377" s="47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66"/>
      <c r="D378" s="15"/>
      <c r="E378" s="46"/>
      <c r="F378" s="47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66"/>
      <c r="D379" s="15"/>
      <c r="E379" s="46"/>
      <c r="F379" s="47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66"/>
      <c r="D380" s="15"/>
      <c r="E380" s="46"/>
      <c r="F380" s="47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66"/>
      <c r="D381" s="15"/>
      <c r="E381" s="46"/>
      <c r="F381" s="47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66"/>
      <c r="D382" s="15"/>
      <c r="E382" s="46"/>
      <c r="F382" s="47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66"/>
      <c r="D383" s="15"/>
      <c r="E383" s="46"/>
      <c r="F383" s="47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66"/>
      <c r="D384" s="15"/>
      <c r="E384" s="46"/>
      <c r="F384" s="47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66"/>
      <c r="D385" s="15"/>
      <c r="E385" s="46"/>
      <c r="F385" s="47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66"/>
      <c r="D386" s="15"/>
      <c r="E386" s="46"/>
      <c r="F386" s="47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66"/>
      <c r="D387" s="15"/>
      <c r="E387" s="46"/>
      <c r="F387" s="47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66"/>
      <c r="D388" s="15"/>
      <c r="E388" s="46"/>
      <c r="F388" s="47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66"/>
      <c r="D389" s="15"/>
      <c r="E389" s="46"/>
      <c r="F389" s="47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66"/>
      <c r="D390" s="15"/>
      <c r="E390" s="46"/>
      <c r="F390" s="47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66"/>
      <c r="D391" s="15"/>
      <c r="E391" s="46"/>
      <c r="F391" s="47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66"/>
      <c r="D392" s="15"/>
      <c r="E392" s="46"/>
      <c r="F392" s="47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66"/>
      <c r="D393" s="15"/>
      <c r="E393" s="46"/>
      <c r="F393" s="47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66"/>
      <c r="D394" s="15"/>
      <c r="E394" s="46"/>
      <c r="F394" s="47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66"/>
      <c r="D395" s="15"/>
      <c r="E395" s="46"/>
      <c r="F395" s="47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66"/>
      <c r="D396" s="15"/>
      <c r="E396" s="46"/>
      <c r="F396" s="47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66"/>
      <c r="D397" s="15"/>
      <c r="E397" s="46"/>
      <c r="F397" s="47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66"/>
      <c r="D398" s="15"/>
      <c r="E398" s="46"/>
      <c r="F398" s="47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66"/>
      <c r="D399" s="15"/>
      <c r="E399" s="46"/>
      <c r="F399" s="47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66"/>
      <c r="D400" s="15"/>
      <c r="E400" s="46"/>
      <c r="F400" s="47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66"/>
      <c r="D401" s="15"/>
      <c r="E401" s="46"/>
      <c r="F401" s="47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66"/>
      <c r="D402" s="15"/>
      <c r="E402" s="46"/>
      <c r="F402" s="47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66"/>
      <c r="D403" s="15"/>
      <c r="E403" s="46"/>
      <c r="F403" s="47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66"/>
      <c r="D404" s="15"/>
      <c r="E404" s="46"/>
      <c r="F404" s="47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66"/>
      <c r="D405" s="15"/>
      <c r="E405" s="46"/>
      <c r="F405" s="47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66"/>
      <c r="D406" s="15"/>
      <c r="E406" s="46"/>
      <c r="F406" s="47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66"/>
      <c r="D407" s="15"/>
      <c r="E407" s="46"/>
      <c r="F407" s="47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66"/>
      <c r="D408" s="15"/>
      <c r="E408" s="46"/>
      <c r="F408" s="47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66"/>
      <c r="D409" s="15"/>
      <c r="E409" s="46"/>
      <c r="F409" s="47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66"/>
      <c r="D410" s="15"/>
      <c r="E410" s="46"/>
      <c r="F410" s="47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66"/>
      <c r="D411" s="15"/>
      <c r="E411" s="46"/>
      <c r="F411" s="47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66"/>
      <c r="D412" s="15"/>
      <c r="E412" s="46"/>
      <c r="F412" s="47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66"/>
      <c r="D413" s="15"/>
      <c r="E413" s="46"/>
      <c r="F413" s="47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66"/>
      <c r="D414" s="15"/>
      <c r="E414" s="46"/>
      <c r="F414" s="47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66"/>
      <c r="D415" s="15"/>
      <c r="E415" s="46"/>
      <c r="F415" s="47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66"/>
      <c r="D416" s="15"/>
      <c r="E416" s="46"/>
      <c r="F416" s="47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66"/>
      <c r="D417" s="15"/>
      <c r="E417" s="46"/>
      <c r="F417" s="47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66"/>
      <c r="D418" s="15"/>
      <c r="E418" s="46"/>
      <c r="F418" s="47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66"/>
      <c r="D419" s="15"/>
      <c r="E419" s="46"/>
      <c r="F419" s="47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66"/>
      <c r="D420" s="15"/>
      <c r="E420" s="46"/>
      <c r="F420" s="47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66"/>
      <c r="D421" s="15"/>
      <c r="E421" s="46"/>
      <c r="F421" s="47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66"/>
      <c r="D422" s="15"/>
      <c r="E422" s="46"/>
      <c r="F422" s="47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66"/>
      <c r="D423" s="15"/>
      <c r="E423" s="46"/>
      <c r="F423" s="4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66"/>
      <c r="D424" s="15"/>
      <c r="E424" s="46"/>
      <c r="F424" s="4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66"/>
      <c r="D425" s="15"/>
      <c r="E425" s="46"/>
      <c r="F425" s="47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66"/>
      <c r="D426" s="15"/>
      <c r="E426" s="46"/>
      <c r="F426" s="47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66"/>
      <c r="D427" s="15"/>
      <c r="E427" s="46"/>
      <c r="F427" s="47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66"/>
      <c r="D428" s="15"/>
      <c r="E428" s="46"/>
      <c r="F428" s="47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66"/>
      <c r="D429" s="15"/>
      <c r="E429" s="46"/>
      <c r="F429" s="47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66"/>
      <c r="D430" s="15"/>
      <c r="E430" s="46"/>
      <c r="F430" s="47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66"/>
      <c r="D431" s="15"/>
      <c r="E431" s="46"/>
      <c r="F431" s="47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66"/>
      <c r="D432" s="15"/>
      <c r="E432" s="46"/>
      <c r="F432" s="47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66"/>
      <c r="D433" s="15"/>
      <c r="E433" s="46"/>
      <c r="F433" s="47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66"/>
      <c r="D434" s="15"/>
      <c r="E434" s="46"/>
      <c r="F434" s="47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66"/>
      <c r="D435" s="15"/>
      <c r="E435" s="46"/>
      <c r="F435" s="47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66"/>
      <c r="D436" s="15"/>
      <c r="E436" s="46"/>
      <c r="F436" s="47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66"/>
      <c r="D437" s="15"/>
      <c r="E437" s="46"/>
      <c r="F437" s="47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66"/>
      <c r="D438" s="15"/>
      <c r="E438" s="46"/>
      <c r="F438" s="4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66"/>
      <c r="D439" s="15"/>
      <c r="E439" s="46"/>
      <c r="F439" s="47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66"/>
      <c r="D440" s="15"/>
      <c r="E440" s="46"/>
      <c r="F440" s="47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66"/>
      <c r="D441" s="15"/>
      <c r="E441" s="46"/>
      <c r="F441" s="47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66"/>
      <c r="D442" s="15"/>
      <c r="E442" s="46"/>
      <c r="F442" s="47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66"/>
      <c r="D443" s="15"/>
      <c r="E443" s="46"/>
      <c r="F443" s="47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66"/>
      <c r="D444" s="15"/>
      <c r="E444" s="46"/>
      <c r="F444" s="47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66"/>
      <c r="D445" s="15"/>
      <c r="E445" s="46"/>
      <c r="F445" s="47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66"/>
      <c r="D446" s="15"/>
      <c r="E446" s="46"/>
      <c r="F446" s="47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66"/>
      <c r="D447" s="15"/>
      <c r="E447" s="46"/>
      <c r="F447" s="47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66"/>
      <c r="D448" s="15"/>
      <c r="E448" s="46"/>
      <c r="F448" s="47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66"/>
      <c r="D449" s="15"/>
      <c r="E449" s="46"/>
      <c r="F449" s="47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66"/>
      <c r="D450" s="15"/>
      <c r="E450" s="46"/>
      <c r="F450" s="47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66"/>
      <c r="D451" s="15"/>
      <c r="E451" s="46"/>
      <c r="F451" s="47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66"/>
      <c r="D452" s="15"/>
      <c r="E452" s="46"/>
      <c r="F452" s="47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66"/>
      <c r="D453" s="15"/>
      <c r="E453" s="46"/>
      <c r="F453" s="47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66"/>
      <c r="D454" s="15"/>
      <c r="E454" s="46"/>
      <c r="F454" s="47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66"/>
      <c r="D455" s="15"/>
      <c r="E455" s="46"/>
      <c r="F455" s="47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66"/>
      <c r="D456" s="15"/>
      <c r="E456" s="46"/>
      <c r="F456" s="47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66"/>
      <c r="D457" s="15"/>
      <c r="E457" s="46"/>
      <c r="F457" s="47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66"/>
      <c r="D458" s="15"/>
      <c r="E458" s="46"/>
      <c r="F458" s="47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66"/>
      <c r="D459" s="15"/>
      <c r="E459" s="46"/>
      <c r="F459" s="47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66"/>
      <c r="D460" s="15"/>
      <c r="E460" s="46"/>
      <c r="F460" s="47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66"/>
      <c r="D461" s="15"/>
      <c r="E461" s="46"/>
      <c r="F461" s="47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66"/>
      <c r="D462" s="15"/>
      <c r="E462" s="46"/>
      <c r="F462" s="47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66"/>
      <c r="D463" s="15"/>
      <c r="E463" s="46"/>
      <c r="F463" s="47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66"/>
      <c r="D464" s="15"/>
      <c r="E464" s="46"/>
      <c r="F464" s="47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66"/>
      <c r="D465" s="15"/>
      <c r="E465" s="46"/>
      <c r="F465" s="47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66"/>
      <c r="D466" s="15"/>
      <c r="E466" s="46"/>
      <c r="F466" s="47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66"/>
      <c r="D467" s="15"/>
      <c r="E467" s="46"/>
      <c r="F467" s="47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66"/>
      <c r="D468" s="15"/>
      <c r="E468" s="46"/>
      <c r="F468" s="4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66"/>
      <c r="D469" s="15"/>
      <c r="E469" s="46"/>
      <c r="F469" s="47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66"/>
      <c r="D470" s="15"/>
      <c r="E470" s="46"/>
      <c r="F470" s="47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66"/>
      <c r="D471" s="15"/>
      <c r="E471" s="46"/>
      <c r="F471" s="47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66"/>
      <c r="D472" s="15"/>
      <c r="E472" s="46"/>
      <c r="F472" s="47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66"/>
      <c r="D473" s="15"/>
      <c r="E473" s="46"/>
      <c r="F473" s="47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66"/>
      <c r="D474" s="15"/>
      <c r="E474" s="46"/>
      <c r="F474" s="47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66"/>
      <c r="D475" s="15"/>
      <c r="E475" s="46"/>
      <c r="F475" s="47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66"/>
      <c r="D476" s="15"/>
      <c r="E476" s="46"/>
      <c r="F476" s="47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66"/>
      <c r="D477" s="15"/>
      <c r="E477" s="46"/>
      <c r="F477" s="47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66"/>
      <c r="D478" s="15"/>
      <c r="E478" s="46"/>
      <c r="F478" s="47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66"/>
      <c r="D479" s="15"/>
      <c r="E479" s="46"/>
      <c r="F479" s="47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66"/>
      <c r="D480" s="15"/>
      <c r="E480" s="46"/>
      <c r="F480" s="47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66"/>
      <c r="D481" s="15"/>
      <c r="E481" s="46"/>
      <c r="F481" s="47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66"/>
      <c r="D482" s="15"/>
      <c r="E482" s="46"/>
      <c r="F482" s="47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66"/>
      <c r="D483" s="15"/>
      <c r="E483" s="46"/>
      <c r="F483" s="47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66"/>
      <c r="D484" s="15"/>
      <c r="E484" s="46"/>
      <c r="F484" s="47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66"/>
      <c r="D485" s="15"/>
      <c r="E485" s="46"/>
      <c r="F485" s="47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66"/>
      <c r="D486" s="15"/>
      <c r="E486" s="46"/>
      <c r="F486" s="47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66"/>
      <c r="D487" s="15"/>
      <c r="E487" s="46"/>
      <c r="F487" s="47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66"/>
      <c r="D488" s="15"/>
      <c r="E488" s="46"/>
      <c r="F488" s="47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66"/>
      <c r="D489" s="15"/>
      <c r="E489" s="46"/>
      <c r="F489" s="47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66"/>
      <c r="D490" s="15"/>
      <c r="E490" s="46"/>
      <c r="F490" s="47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66"/>
      <c r="D491" s="15"/>
      <c r="E491" s="46"/>
      <c r="F491" s="47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66"/>
      <c r="D492" s="15"/>
      <c r="E492" s="46"/>
      <c r="F492" s="47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66"/>
      <c r="D493" s="15"/>
      <c r="E493" s="46"/>
      <c r="F493" s="47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66"/>
      <c r="D494" s="15"/>
      <c r="E494" s="46"/>
      <c r="F494" s="4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66"/>
      <c r="D495" s="15"/>
      <c r="E495" s="46"/>
      <c r="F495" s="47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66"/>
      <c r="D496" s="15"/>
      <c r="E496" s="46"/>
      <c r="F496" s="47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66"/>
      <c r="D497" s="15"/>
      <c r="E497" s="46"/>
      <c r="F497" s="47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66"/>
      <c r="D498" s="15"/>
      <c r="E498" s="46"/>
      <c r="F498" s="47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66"/>
      <c r="D499" s="15"/>
      <c r="E499" s="46"/>
      <c r="F499" s="47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66"/>
      <c r="D500" s="15"/>
      <c r="E500" s="46"/>
      <c r="F500" s="4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66"/>
      <c r="D501" s="15"/>
      <c r="E501" s="46"/>
      <c r="F501" s="47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66"/>
      <c r="D502" s="15"/>
      <c r="E502" s="46"/>
      <c r="F502" s="47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66"/>
      <c r="D503" s="15"/>
      <c r="E503" s="46"/>
      <c r="F503" s="47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66"/>
      <c r="D504" s="15"/>
      <c r="E504" s="46"/>
      <c r="F504" s="47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66"/>
      <c r="D505" s="15"/>
      <c r="E505" s="46"/>
      <c r="F505" s="47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66"/>
      <c r="D506" s="15"/>
      <c r="E506" s="46"/>
      <c r="F506" s="47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66"/>
      <c r="D507" s="15"/>
      <c r="E507" s="46"/>
      <c r="F507" s="47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66"/>
      <c r="D508" s="15"/>
      <c r="E508" s="46"/>
      <c r="F508" s="47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66"/>
      <c r="D509" s="15"/>
      <c r="E509" s="46"/>
      <c r="F509" s="47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66"/>
      <c r="D510" s="15"/>
      <c r="E510" s="46"/>
      <c r="F510" s="47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66"/>
      <c r="D511" s="15"/>
      <c r="E511" s="46"/>
      <c r="F511" s="47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66"/>
      <c r="D512" s="15"/>
      <c r="E512" s="46"/>
      <c r="F512" s="47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66"/>
      <c r="D513" s="15"/>
      <c r="E513" s="46"/>
      <c r="F513" s="47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66"/>
      <c r="D514" s="15"/>
      <c r="E514" s="46"/>
      <c r="F514" s="47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66"/>
      <c r="D515" s="15"/>
      <c r="E515" s="46"/>
      <c r="F515" s="47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66"/>
      <c r="D516" s="15"/>
      <c r="E516" s="46"/>
      <c r="F516" s="47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66"/>
      <c r="D517" s="15"/>
      <c r="E517" s="46"/>
      <c r="F517" s="47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66"/>
      <c r="D518" s="15"/>
      <c r="E518" s="46"/>
      <c r="F518" s="47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66"/>
      <c r="D519" s="15"/>
      <c r="E519" s="46"/>
      <c r="F519" s="47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66"/>
      <c r="D520" s="15"/>
      <c r="E520" s="46"/>
      <c r="F520" s="47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66"/>
      <c r="D521" s="15"/>
      <c r="E521" s="46"/>
      <c r="F521" s="47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66"/>
      <c r="D522" s="15"/>
      <c r="E522" s="46"/>
      <c r="F522" s="4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66"/>
      <c r="D523" s="15"/>
      <c r="E523" s="46"/>
      <c r="F523" s="47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66"/>
      <c r="D524" s="15"/>
      <c r="E524" s="46"/>
      <c r="F524" s="4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66"/>
      <c r="D525" s="15"/>
      <c r="E525" s="46"/>
      <c r="F525" s="4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66"/>
      <c r="D526" s="15"/>
      <c r="E526" s="46"/>
      <c r="F526" s="4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66"/>
      <c r="D527" s="15"/>
      <c r="E527" s="46"/>
      <c r="F527" s="47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66"/>
      <c r="D528" s="15"/>
      <c r="E528" s="46"/>
      <c r="F528" s="4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66"/>
      <c r="D529" s="15"/>
      <c r="E529" s="46"/>
      <c r="F529" s="47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66"/>
      <c r="D530" s="15"/>
      <c r="E530" s="46"/>
      <c r="F530" s="4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66"/>
      <c r="D531" s="15"/>
      <c r="E531" s="46"/>
      <c r="F531" s="4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66"/>
      <c r="D532" s="15"/>
      <c r="E532" s="46"/>
      <c r="F532" s="4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66"/>
      <c r="D533" s="15"/>
      <c r="E533" s="46"/>
      <c r="F533" s="47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66"/>
      <c r="D534" s="15"/>
      <c r="E534" s="46"/>
      <c r="F534" s="4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66"/>
      <c r="D535" s="15"/>
      <c r="E535" s="46"/>
      <c r="F535" s="47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66"/>
      <c r="D536" s="15"/>
      <c r="E536" s="46"/>
      <c r="F536" s="4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66"/>
      <c r="D537" s="15"/>
      <c r="E537" s="46"/>
      <c r="F537" s="4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66"/>
      <c r="D538" s="15"/>
      <c r="E538" s="46"/>
      <c r="F538" s="4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66"/>
      <c r="D539" s="15"/>
      <c r="E539" s="46"/>
      <c r="F539" s="47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66"/>
      <c r="D540" s="15"/>
      <c r="E540" s="46"/>
      <c r="F540" s="4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66"/>
      <c r="D541" s="15"/>
      <c r="E541" s="46"/>
      <c r="F541" s="47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66"/>
      <c r="D542" s="15"/>
      <c r="E542" s="46"/>
      <c r="F542" s="4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66"/>
      <c r="D543" s="15"/>
      <c r="E543" s="46"/>
      <c r="F543" s="4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66"/>
      <c r="D544" s="15"/>
      <c r="E544" s="46"/>
      <c r="F544" s="4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66"/>
      <c r="D545" s="15"/>
      <c r="E545" s="46"/>
      <c r="F545" s="47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66"/>
      <c r="D546" s="15"/>
      <c r="E546" s="46"/>
      <c r="F546" s="4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66"/>
      <c r="D547" s="15"/>
      <c r="E547" s="46"/>
      <c r="F547" s="47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66"/>
      <c r="D548" s="15"/>
      <c r="E548" s="46"/>
      <c r="F548" s="4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66"/>
      <c r="D549" s="15"/>
      <c r="E549" s="46"/>
      <c r="F549" s="4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66"/>
      <c r="D550" s="15"/>
      <c r="E550" s="46"/>
      <c r="F550" s="4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66"/>
      <c r="D551" s="15"/>
      <c r="E551" s="46"/>
      <c r="F551" s="47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66"/>
      <c r="D552" s="15"/>
      <c r="E552" s="46"/>
      <c r="F552" s="4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66"/>
      <c r="D553" s="15"/>
      <c r="E553" s="46"/>
      <c r="F553" s="47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66"/>
      <c r="D554" s="15"/>
      <c r="E554" s="46"/>
      <c r="F554" s="4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66"/>
      <c r="D555" s="15"/>
      <c r="E555" s="46"/>
      <c r="F555" s="4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66"/>
      <c r="D556" s="15"/>
      <c r="E556" s="46"/>
      <c r="F556" s="4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66"/>
      <c r="D557" s="15"/>
      <c r="E557" s="46"/>
      <c r="F557" s="4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66"/>
      <c r="D558" s="15"/>
      <c r="E558" s="46"/>
      <c r="F558" s="4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66"/>
      <c r="D559" s="15"/>
      <c r="E559" s="46"/>
      <c r="F559" s="47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66"/>
      <c r="D560" s="15"/>
      <c r="E560" s="46"/>
      <c r="F560" s="4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66"/>
      <c r="D561" s="15"/>
      <c r="E561" s="46"/>
      <c r="F561" s="4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66"/>
      <c r="D562" s="15"/>
      <c r="E562" s="46"/>
      <c r="F562" s="4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66"/>
      <c r="D563" s="15"/>
      <c r="E563" s="46"/>
      <c r="F563" s="4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66"/>
      <c r="D564" s="15"/>
      <c r="E564" s="46"/>
      <c r="F564" s="4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66"/>
      <c r="D565" s="15"/>
      <c r="E565" s="46"/>
      <c r="F565" s="47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66"/>
      <c r="D566" s="15"/>
      <c r="E566" s="46"/>
      <c r="F566" s="4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66"/>
      <c r="D567" s="15"/>
      <c r="E567" s="46"/>
      <c r="F567" s="4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66"/>
      <c r="D568" s="15"/>
      <c r="E568" s="46"/>
      <c r="F568" s="4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66"/>
      <c r="D569" s="15"/>
      <c r="E569" s="46"/>
      <c r="F569" s="47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66"/>
      <c r="D570" s="15"/>
      <c r="E570" s="46"/>
      <c r="F570" s="4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66"/>
      <c r="D571" s="15"/>
      <c r="E571" s="46"/>
      <c r="F571" s="47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66"/>
      <c r="D572" s="15"/>
      <c r="E572" s="46"/>
      <c r="F572" s="4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66"/>
      <c r="D573" s="15"/>
      <c r="E573" s="46"/>
      <c r="F573" s="4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66"/>
      <c r="D574" s="15"/>
      <c r="E574" s="46"/>
      <c r="F574" s="4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66"/>
      <c r="D575" s="15"/>
      <c r="E575" s="46"/>
      <c r="F575" s="47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66"/>
      <c r="D576" s="15"/>
      <c r="E576" s="46"/>
      <c r="F576" s="4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66"/>
      <c r="D577" s="15"/>
      <c r="E577" s="46"/>
      <c r="F577" s="4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66"/>
      <c r="D578" s="15"/>
      <c r="E578" s="46"/>
      <c r="F578" s="4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66"/>
      <c r="D579" s="15"/>
      <c r="E579" s="46"/>
      <c r="F579" s="4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66"/>
      <c r="D580" s="15"/>
      <c r="E580" s="46"/>
      <c r="F580" s="4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66"/>
      <c r="D581" s="15"/>
      <c r="E581" s="46"/>
      <c r="F581" s="47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66"/>
      <c r="D582" s="15"/>
      <c r="E582" s="46"/>
      <c r="F582" s="4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66"/>
      <c r="D583" s="15"/>
      <c r="E583" s="46"/>
      <c r="F583" s="47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66"/>
      <c r="D584" s="15"/>
      <c r="E584" s="46"/>
      <c r="F584" s="4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66"/>
      <c r="D585" s="15"/>
      <c r="E585" s="46"/>
      <c r="F585" s="4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66"/>
      <c r="D586" s="15"/>
      <c r="E586" s="46"/>
      <c r="F586" s="4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66"/>
      <c r="D587" s="15"/>
      <c r="E587" s="46"/>
      <c r="F587" s="4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66"/>
      <c r="D588" s="15"/>
      <c r="E588" s="46"/>
      <c r="F588" s="4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66"/>
      <c r="D589" s="15"/>
      <c r="E589" s="46"/>
      <c r="F589" s="47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66"/>
      <c r="D590" s="15"/>
      <c r="E590" s="46"/>
      <c r="F590" s="4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66"/>
      <c r="D591" s="15"/>
      <c r="E591" s="46"/>
      <c r="F591" s="4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66"/>
      <c r="D592" s="15"/>
      <c r="E592" s="46"/>
      <c r="F592" s="4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66"/>
      <c r="D593" s="15"/>
      <c r="E593" s="46"/>
      <c r="F593" s="47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66"/>
      <c r="D594" s="15"/>
      <c r="E594" s="46"/>
      <c r="F594" s="4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66"/>
      <c r="D595" s="15"/>
      <c r="E595" s="46"/>
      <c r="F595" s="47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66"/>
      <c r="D596" s="15"/>
      <c r="E596" s="46"/>
      <c r="F596" s="4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66"/>
      <c r="D597" s="15"/>
      <c r="E597" s="46"/>
      <c r="F597" s="4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66"/>
      <c r="D598" s="15"/>
      <c r="E598" s="46"/>
      <c r="F598" s="4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66"/>
      <c r="D599" s="15"/>
      <c r="E599" s="46"/>
      <c r="F599" s="47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66"/>
      <c r="D600" s="15"/>
      <c r="E600" s="46"/>
      <c r="F600" s="4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66"/>
      <c r="D601" s="15"/>
      <c r="E601" s="46"/>
      <c r="F601" s="47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66"/>
      <c r="D602" s="15"/>
      <c r="E602" s="46"/>
      <c r="F602" s="4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66"/>
      <c r="D603" s="15"/>
      <c r="E603" s="46"/>
      <c r="F603" s="4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66"/>
      <c r="D604" s="15"/>
      <c r="E604" s="46"/>
      <c r="F604" s="4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66"/>
      <c r="D605" s="15"/>
      <c r="E605" s="46"/>
      <c r="F605" s="47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66"/>
      <c r="D606" s="15"/>
      <c r="E606" s="46"/>
      <c r="F606" s="4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66"/>
      <c r="D607" s="15"/>
      <c r="E607" s="46"/>
      <c r="F607" s="47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66"/>
      <c r="D608" s="15"/>
      <c r="E608" s="46"/>
      <c r="F608" s="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66"/>
      <c r="D609" s="15"/>
      <c r="E609" s="46"/>
      <c r="F609" s="4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66"/>
      <c r="D610" s="15"/>
      <c r="E610" s="46"/>
      <c r="F610" s="4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66"/>
      <c r="D611" s="15"/>
      <c r="E611" s="46"/>
      <c r="F611" s="47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66"/>
      <c r="D612" s="15"/>
      <c r="E612" s="46"/>
      <c r="F612" s="4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66"/>
      <c r="D613" s="15"/>
      <c r="E613" s="46"/>
      <c r="F613" s="47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66"/>
      <c r="D614" s="15"/>
      <c r="E614" s="46"/>
      <c r="F614" s="4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66"/>
      <c r="D615" s="15"/>
      <c r="E615" s="46"/>
      <c r="F615" s="4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66"/>
      <c r="D616" s="15"/>
      <c r="E616" s="46"/>
      <c r="F616" s="4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66"/>
      <c r="D617" s="15"/>
      <c r="E617" s="46"/>
      <c r="F617" s="47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66"/>
      <c r="D618" s="15"/>
      <c r="E618" s="46"/>
      <c r="F618" s="4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66"/>
      <c r="D619" s="15"/>
      <c r="E619" s="46"/>
      <c r="F619" s="47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66"/>
      <c r="D620" s="15"/>
      <c r="E620" s="46"/>
      <c r="F620" s="4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66"/>
      <c r="D621" s="15"/>
      <c r="E621" s="46"/>
      <c r="F621" s="4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66"/>
      <c r="D622" s="15"/>
      <c r="E622" s="46"/>
      <c r="F622" s="4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66"/>
      <c r="D623" s="15"/>
      <c r="E623" s="46"/>
      <c r="F623" s="4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66"/>
      <c r="D624" s="15"/>
      <c r="E624" s="46"/>
      <c r="F624" s="4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66"/>
      <c r="D625" s="15"/>
      <c r="E625" s="46"/>
      <c r="F625" s="47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66"/>
      <c r="D626" s="15"/>
      <c r="E626" s="46"/>
      <c r="F626" s="4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66"/>
      <c r="D627" s="15"/>
      <c r="E627" s="46"/>
      <c r="F627" s="4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66"/>
      <c r="D628" s="15"/>
      <c r="E628" s="46"/>
      <c r="F628" s="4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66"/>
      <c r="D629" s="15"/>
      <c r="E629" s="46"/>
      <c r="F629" s="47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66"/>
      <c r="D630" s="15"/>
      <c r="E630" s="46"/>
      <c r="F630" s="4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66"/>
      <c r="D631" s="15"/>
      <c r="E631" s="46"/>
      <c r="F631" s="47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66"/>
      <c r="D632" s="15"/>
      <c r="E632" s="46"/>
      <c r="F632" s="4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66"/>
      <c r="D633" s="15"/>
      <c r="E633" s="46"/>
      <c r="F633" s="4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66"/>
      <c r="D634" s="15"/>
      <c r="E634" s="46"/>
      <c r="F634" s="4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66"/>
      <c r="D635" s="15"/>
      <c r="E635" s="46"/>
      <c r="F635" s="47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66"/>
      <c r="D636" s="15"/>
      <c r="E636" s="46"/>
      <c r="F636" s="4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66"/>
      <c r="D637" s="15"/>
      <c r="E637" s="46"/>
      <c r="F637" s="47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66"/>
      <c r="D638" s="15"/>
      <c r="E638" s="46"/>
      <c r="F638" s="4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66"/>
      <c r="D639" s="15"/>
      <c r="E639" s="46"/>
      <c r="F639" s="4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66"/>
      <c r="D640" s="15"/>
      <c r="E640" s="46"/>
      <c r="F640" s="4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66"/>
      <c r="D641" s="15"/>
      <c r="E641" s="46"/>
      <c r="F641" s="47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66"/>
      <c r="D642" s="15"/>
      <c r="E642" s="46"/>
      <c r="F642" s="4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66"/>
      <c r="D643" s="15"/>
      <c r="E643" s="46"/>
      <c r="F643" s="47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66"/>
      <c r="D644" s="15"/>
      <c r="E644" s="46"/>
      <c r="F644" s="4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66"/>
      <c r="D645" s="15"/>
      <c r="E645" s="46"/>
      <c r="F645" s="4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66"/>
      <c r="D646" s="15"/>
      <c r="E646" s="46"/>
      <c r="F646" s="4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66"/>
      <c r="D647" s="15"/>
      <c r="E647" s="46"/>
      <c r="F647" s="47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66"/>
      <c r="D648" s="15"/>
      <c r="E648" s="46"/>
      <c r="F648" s="4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66"/>
      <c r="D649" s="15"/>
      <c r="E649" s="46"/>
      <c r="F649" s="47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66"/>
      <c r="D650" s="15"/>
      <c r="E650" s="46"/>
      <c r="F650" s="4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66"/>
      <c r="D651" s="15"/>
      <c r="E651" s="46"/>
      <c r="F651" s="4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66"/>
      <c r="D652" s="15"/>
      <c r="E652" s="46"/>
      <c r="F652" s="4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66"/>
      <c r="D653" s="15"/>
      <c r="E653" s="46"/>
      <c r="F653" s="47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66"/>
      <c r="D654" s="15"/>
      <c r="E654" s="46"/>
      <c r="F654" s="4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66"/>
      <c r="D655" s="15"/>
      <c r="E655" s="46"/>
      <c r="F655" s="47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66"/>
      <c r="D656" s="15"/>
      <c r="E656" s="46"/>
      <c r="F656" s="4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66"/>
      <c r="D657" s="15"/>
      <c r="E657" s="46"/>
      <c r="F657" s="4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66"/>
      <c r="D658" s="15"/>
      <c r="E658" s="46"/>
      <c r="F658" s="4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66"/>
      <c r="D659" s="15"/>
      <c r="E659" s="46"/>
      <c r="F659" s="47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66"/>
      <c r="D660" s="15"/>
      <c r="E660" s="46"/>
      <c r="F660" s="4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66"/>
      <c r="D661" s="15"/>
      <c r="E661" s="46"/>
      <c r="F661" s="47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66"/>
      <c r="D662" s="15"/>
      <c r="E662" s="46"/>
      <c r="F662" s="4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66"/>
      <c r="D663" s="15"/>
      <c r="E663" s="46"/>
      <c r="F663" s="4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66"/>
      <c r="D664" s="15"/>
      <c r="E664" s="46"/>
      <c r="F664" s="4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66"/>
      <c r="D665" s="15"/>
      <c r="E665" s="46"/>
      <c r="F665" s="47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66"/>
      <c r="D666" s="15"/>
      <c r="E666" s="46"/>
      <c r="F666" s="4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66"/>
      <c r="D667" s="15"/>
      <c r="E667" s="46"/>
      <c r="F667" s="47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66"/>
      <c r="D668" s="15"/>
      <c r="E668" s="46"/>
      <c r="F668" s="4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66"/>
      <c r="D669" s="15"/>
      <c r="E669" s="46"/>
      <c r="F669" s="4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66"/>
      <c r="D670" s="15"/>
      <c r="E670" s="46"/>
      <c r="F670" s="4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66"/>
      <c r="D671" s="15"/>
      <c r="E671" s="46"/>
      <c r="F671" s="47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66"/>
      <c r="D672" s="15"/>
      <c r="E672" s="46"/>
      <c r="F672" s="4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66"/>
      <c r="D673" s="15"/>
      <c r="E673" s="46"/>
      <c r="F673" s="47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66"/>
      <c r="D674" s="15"/>
      <c r="E674" s="46"/>
      <c r="F674" s="4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66"/>
      <c r="D675" s="15"/>
      <c r="E675" s="46"/>
      <c r="F675" s="4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66"/>
      <c r="D676" s="15"/>
      <c r="E676" s="46"/>
      <c r="F676" s="4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66"/>
      <c r="D677" s="15"/>
      <c r="E677" s="46"/>
      <c r="F677" s="47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66"/>
      <c r="D678" s="15"/>
      <c r="E678" s="46"/>
      <c r="F678" s="4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66"/>
      <c r="D679" s="15"/>
      <c r="E679" s="46"/>
      <c r="F679" s="47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66"/>
      <c r="D680" s="15"/>
      <c r="E680" s="46"/>
      <c r="F680" s="4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66"/>
      <c r="D681" s="15"/>
      <c r="E681" s="46"/>
      <c r="F681" s="4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66"/>
      <c r="D682" s="15"/>
      <c r="E682" s="46"/>
      <c r="F682" s="4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66"/>
      <c r="D683" s="15"/>
      <c r="E683" s="46"/>
      <c r="F683" s="47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66"/>
      <c r="D684" s="15"/>
      <c r="E684" s="46"/>
      <c r="F684" s="4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66"/>
      <c r="D685" s="15"/>
      <c r="E685" s="46"/>
      <c r="F685" s="47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66"/>
      <c r="D686" s="15"/>
      <c r="E686" s="46"/>
      <c r="F686" s="4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66"/>
      <c r="D687" s="15"/>
      <c r="E687" s="46"/>
      <c r="F687" s="4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66"/>
      <c r="D688" s="15"/>
      <c r="E688" s="46"/>
      <c r="F688" s="4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66"/>
      <c r="D689" s="15"/>
      <c r="E689" s="46"/>
      <c r="F689" s="47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66"/>
      <c r="D690" s="15"/>
      <c r="E690" s="46"/>
      <c r="F690" s="4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66"/>
      <c r="D691" s="15"/>
      <c r="E691" s="46"/>
      <c r="F691" s="47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66"/>
      <c r="D692" s="15"/>
      <c r="E692" s="46"/>
      <c r="F692" s="4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66"/>
      <c r="D693" s="15"/>
      <c r="E693" s="46"/>
      <c r="F693" s="4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66"/>
      <c r="D694" s="15"/>
      <c r="E694" s="46"/>
      <c r="F694" s="4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66"/>
      <c r="D695" s="15"/>
      <c r="E695" s="46"/>
      <c r="F695" s="47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66"/>
      <c r="D696" s="15"/>
      <c r="E696" s="46"/>
      <c r="F696" s="4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66"/>
      <c r="D697" s="15"/>
      <c r="E697" s="46"/>
      <c r="F697" s="4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66"/>
      <c r="D698" s="15"/>
      <c r="E698" s="46"/>
      <c r="F698" s="4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66"/>
      <c r="D699" s="15"/>
      <c r="E699" s="46"/>
      <c r="F699" s="4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66"/>
      <c r="D700" s="15"/>
      <c r="E700" s="46"/>
      <c r="F700" s="4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66"/>
      <c r="D701" s="15"/>
      <c r="E701" s="46"/>
      <c r="F701" s="47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66"/>
      <c r="D702" s="15"/>
      <c r="E702" s="46"/>
      <c r="F702" s="4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66"/>
      <c r="D703" s="15"/>
      <c r="E703" s="46"/>
      <c r="F703" s="4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66"/>
      <c r="D704" s="15"/>
      <c r="E704" s="46"/>
      <c r="F704" s="4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66"/>
      <c r="D705" s="15"/>
      <c r="E705" s="46"/>
      <c r="F705" s="4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66"/>
      <c r="D706" s="15"/>
      <c r="E706" s="46"/>
      <c r="F706" s="4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66"/>
      <c r="D707" s="15"/>
      <c r="E707" s="46"/>
      <c r="F707" s="47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66"/>
      <c r="D708" s="15"/>
      <c r="E708" s="46"/>
      <c r="F708" s="4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66"/>
      <c r="D709" s="15"/>
      <c r="E709" s="46"/>
      <c r="F709" s="47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66"/>
      <c r="D710" s="15"/>
      <c r="E710" s="46"/>
      <c r="F710" s="4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66"/>
      <c r="D711" s="15"/>
      <c r="E711" s="46"/>
      <c r="F711" s="4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66"/>
      <c r="D712" s="15"/>
      <c r="E712" s="46"/>
      <c r="F712" s="4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66"/>
      <c r="D713" s="15"/>
      <c r="E713" s="46"/>
      <c r="F713" s="47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66"/>
      <c r="D714" s="15"/>
      <c r="E714" s="46"/>
      <c r="F714" s="4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66"/>
      <c r="D715" s="15"/>
      <c r="E715" s="46"/>
      <c r="F715" s="47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66"/>
      <c r="D716" s="15"/>
      <c r="E716" s="46"/>
      <c r="F716" s="4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66"/>
      <c r="D717" s="15"/>
      <c r="E717" s="46"/>
      <c r="F717" s="4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66"/>
      <c r="D718" s="15"/>
      <c r="E718" s="46"/>
      <c r="F718" s="4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66"/>
      <c r="D719" s="15"/>
      <c r="E719" s="46"/>
      <c r="F719" s="47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66"/>
      <c r="D720" s="15"/>
      <c r="E720" s="46"/>
      <c r="F720" s="4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66"/>
      <c r="D721" s="15"/>
      <c r="E721" s="46"/>
      <c r="F721" s="47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66"/>
      <c r="D722" s="15"/>
      <c r="E722" s="46"/>
      <c r="F722" s="4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66"/>
      <c r="D723" s="15"/>
      <c r="E723" s="46"/>
      <c r="F723" s="4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66"/>
      <c r="D724" s="15"/>
      <c r="E724" s="46"/>
      <c r="F724" s="4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66"/>
      <c r="D725" s="15"/>
      <c r="E725" s="46"/>
      <c r="F725" s="47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66"/>
      <c r="D726" s="15"/>
      <c r="E726" s="46"/>
      <c r="F726" s="4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66"/>
      <c r="D727" s="15"/>
      <c r="E727" s="46"/>
      <c r="F727" s="47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66"/>
      <c r="D728" s="15"/>
      <c r="E728" s="46"/>
      <c r="F728" s="4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66"/>
      <c r="D729" s="15"/>
      <c r="E729" s="46"/>
      <c r="F729" s="4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66"/>
      <c r="D730" s="15"/>
      <c r="E730" s="46"/>
      <c r="F730" s="4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66"/>
      <c r="D731" s="15"/>
      <c r="E731" s="46"/>
      <c r="F731" s="47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66"/>
      <c r="D732" s="15"/>
      <c r="E732" s="46"/>
      <c r="F732" s="4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66"/>
      <c r="D733" s="15"/>
      <c r="E733" s="46"/>
      <c r="F733" s="47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66"/>
      <c r="D734" s="15"/>
      <c r="E734" s="46"/>
      <c r="F734" s="4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66"/>
      <c r="D735" s="15"/>
      <c r="E735" s="46"/>
      <c r="F735" s="4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66"/>
      <c r="D736" s="15"/>
      <c r="E736" s="46"/>
      <c r="F736" s="4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66"/>
      <c r="D737" s="15"/>
      <c r="E737" s="46"/>
      <c r="F737" s="47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66"/>
      <c r="D738" s="15"/>
      <c r="E738" s="46"/>
      <c r="F738" s="4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66"/>
      <c r="D739" s="15"/>
      <c r="E739" s="46"/>
      <c r="F739" s="47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66"/>
      <c r="D740" s="15"/>
      <c r="E740" s="46"/>
      <c r="F740" s="4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66"/>
      <c r="D741" s="15"/>
      <c r="E741" s="46"/>
      <c r="F741" s="4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66"/>
      <c r="D742" s="15"/>
      <c r="E742" s="46"/>
      <c r="F742" s="4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66"/>
      <c r="D743" s="15"/>
      <c r="E743" s="46"/>
      <c r="F743" s="47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66"/>
      <c r="D744" s="15"/>
      <c r="E744" s="46"/>
      <c r="F744" s="47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66"/>
      <c r="D745" s="15"/>
      <c r="E745" s="46"/>
      <c r="F745" s="47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66"/>
      <c r="D746" s="15"/>
      <c r="E746" s="46"/>
      <c r="F746" s="47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66"/>
      <c r="D747" s="15"/>
      <c r="E747" s="46"/>
      <c r="F747" s="47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66"/>
      <c r="D748" s="15"/>
      <c r="E748" s="46"/>
      <c r="F748" s="47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66"/>
      <c r="D749" s="15"/>
      <c r="E749" s="46"/>
      <c r="F749" s="47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66"/>
      <c r="D750" s="15"/>
      <c r="E750" s="46"/>
      <c r="F750" s="47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66"/>
      <c r="D751" s="15"/>
      <c r="E751" s="46"/>
      <c r="F751" s="47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66"/>
      <c r="D752" s="15"/>
      <c r="E752" s="46"/>
      <c r="F752" s="47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66"/>
      <c r="D753" s="15"/>
      <c r="E753" s="46"/>
      <c r="F753" s="47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66"/>
      <c r="D754" s="15"/>
      <c r="E754" s="46"/>
      <c r="F754" s="47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66"/>
      <c r="D755" s="15"/>
      <c r="E755" s="46"/>
      <c r="F755" s="47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66"/>
      <c r="D756" s="15"/>
      <c r="E756" s="46"/>
      <c r="F756" s="47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66"/>
      <c r="D757" s="15"/>
      <c r="E757" s="46"/>
      <c r="F757" s="47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66"/>
      <c r="D758" s="15"/>
      <c r="E758" s="46"/>
      <c r="F758" s="47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66"/>
      <c r="D759" s="15"/>
      <c r="E759" s="46"/>
      <c r="F759" s="47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66"/>
      <c r="D760" s="15"/>
      <c r="E760" s="46"/>
      <c r="F760" s="47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66"/>
      <c r="D761" s="15"/>
      <c r="E761" s="46"/>
      <c r="F761" s="47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66"/>
      <c r="D762" s="15"/>
      <c r="E762" s="46"/>
      <c r="F762" s="47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66"/>
      <c r="D763" s="15"/>
      <c r="E763" s="46"/>
      <c r="F763" s="47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66"/>
      <c r="D764" s="15"/>
      <c r="E764" s="46"/>
      <c r="F764" s="47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66"/>
      <c r="D765" s="15"/>
      <c r="E765" s="46"/>
      <c r="F765" s="47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66"/>
      <c r="D766" s="15"/>
      <c r="E766" s="46"/>
      <c r="F766" s="47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66"/>
      <c r="D767" s="15"/>
      <c r="E767" s="46"/>
      <c r="F767" s="47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66"/>
      <c r="D768" s="15"/>
      <c r="E768" s="46"/>
      <c r="F768" s="47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66"/>
      <c r="D769" s="15"/>
      <c r="E769" s="46"/>
      <c r="F769" s="47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66"/>
      <c r="D770" s="15"/>
      <c r="E770" s="46"/>
      <c r="F770" s="47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66"/>
      <c r="D771" s="15"/>
      <c r="E771" s="46"/>
      <c r="F771" s="47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66"/>
      <c r="D772" s="15"/>
      <c r="E772" s="46"/>
      <c r="F772" s="47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66"/>
      <c r="D773" s="15"/>
      <c r="E773" s="46"/>
      <c r="F773" s="47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66"/>
      <c r="D774" s="15"/>
      <c r="E774" s="46"/>
      <c r="F774" s="4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66"/>
      <c r="D775" s="15"/>
      <c r="E775" s="46"/>
      <c r="F775" s="47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66"/>
      <c r="D776" s="15"/>
      <c r="E776" s="46"/>
      <c r="F776" s="47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66"/>
      <c r="D777" s="15"/>
      <c r="E777" s="46"/>
      <c r="F777" s="47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66"/>
      <c r="D778" s="15"/>
      <c r="E778" s="46"/>
      <c r="F778" s="47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66"/>
      <c r="D779" s="15"/>
      <c r="E779" s="46"/>
      <c r="F779" s="47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66"/>
      <c r="D780" s="15"/>
      <c r="E780" s="46"/>
      <c r="F780" s="47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66"/>
      <c r="D781" s="15"/>
      <c r="E781" s="46"/>
      <c r="F781" s="47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66"/>
      <c r="D782" s="15"/>
      <c r="E782" s="46"/>
      <c r="F782" s="47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66"/>
      <c r="D783" s="15"/>
      <c r="E783" s="46"/>
      <c r="F783" s="47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66"/>
      <c r="D784" s="15"/>
      <c r="E784" s="46"/>
      <c r="F784" s="47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66"/>
      <c r="D785" s="15"/>
      <c r="E785" s="46"/>
      <c r="F785" s="47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66"/>
      <c r="D786" s="15"/>
      <c r="E786" s="46"/>
      <c r="F786" s="47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66"/>
      <c r="D787" s="15"/>
      <c r="E787" s="46"/>
      <c r="F787" s="47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66"/>
      <c r="D788" s="15"/>
      <c r="E788" s="46"/>
      <c r="F788" s="47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66"/>
      <c r="D789" s="15"/>
      <c r="E789" s="46"/>
      <c r="F789" s="47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66"/>
      <c r="D790" s="15"/>
      <c r="E790" s="46"/>
      <c r="F790" s="47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66"/>
      <c r="D791" s="15"/>
      <c r="E791" s="46"/>
      <c r="F791" s="47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66"/>
      <c r="D792" s="15"/>
      <c r="E792" s="46"/>
      <c r="F792" s="47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66"/>
      <c r="D793" s="15"/>
      <c r="E793" s="46"/>
      <c r="F793" s="47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66"/>
      <c r="D794" s="15"/>
      <c r="E794" s="46"/>
      <c r="F794" s="47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66"/>
      <c r="D795" s="15"/>
      <c r="E795" s="46"/>
      <c r="F795" s="47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66"/>
      <c r="D796" s="15"/>
      <c r="E796" s="46"/>
      <c r="F796" s="47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66"/>
      <c r="D797" s="15"/>
      <c r="E797" s="46"/>
      <c r="F797" s="47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66"/>
      <c r="D798" s="15"/>
      <c r="E798" s="46"/>
      <c r="F798" s="47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66"/>
      <c r="D799" s="15"/>
      <c r="E799" s="46"/>
      <c r="F799" s="47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66"/>
      <c r="D800" s="15"/>
      <c r="E800" s="46"/>
      <c r="F800" s="47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66"/>
      <c r="D801" s="15"/>
      <c r="E801" s="46"/>
      <c r="F801" s="47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66"/>
      <c r="D802" s="15"/>
      <c r="E802" s="46"/>
      <c r="F802" s="47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66"/>
      <c r="D803" s="15"/>
      <c r="E803" s="46"/>
      <c r="F803" s="47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66"/>
      <c r="D804" s="15"/>
      <c r="E804" s="46"/>
      <c r="F804" s="47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66"/>
      <c r="D805" s="15"/>
      <c r="E805" s="46"/>
      <c r="F805" s="47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66"/>
      <c r="D806" s="15"/>
      <c r="E806" s="46"/>
      <c r="F806" s="47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66"/>
      <c r="D807" s="15"/>
      <c r="E807" s="46"/>
      <c r="F807" s="4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66"/>
      <c r="D808" s="15"/>
      <c r="E808" s="46"/>
      <c r="F808" s="47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66"/>
      <c r="D809" s="15"/>
      <c r="E809" s="46"/>
      <c r="F809" s="47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66"/>
      <c r="D810" s="15"/>
      <c r="E810" s="46"/>
      <c r="F810" s="47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66"/>
      <c r="D811" s="15"/>
      <c r="E811" s="46"/>
      <c r="F811" s="47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66"/>
      <c r="D812" s="15"/>
      <c r="E812" s="46"/>
      <c r="F812" s="47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66"/>
      <c r="D813" s="15"/>
      <c r="E813" s="46"/>
      <c r="F813" s="47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66"/>
      <c r="D814" s="15"/>
      <c r="E814" s="46"/>
      <c r="F814" s="47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66"/>
      <c r="D815" s="15"/>
      <c r="E815" s="46"/>
      <c r="F815" s="47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66"/>
      <c r="D816" s="15"/>
      <c r="E816" s="46"/>
      <c r="F816" s="47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66"/>
      <c r="D817" s="15"/>
      <c r="E817" s="46"/>
      <c r="F817" s="47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66"/>
      <c r="D818" s="15"/>
      <c r="E818" s="46"/>
      <c r="F818" s="47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66"/>
      <c r="D819" s="15"/>
      <c r="E819" s="46"/>
      <c r="F819" s="47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66"/>
      <c r="D820" s="15"/>
      <c r="E820" s="46"/>
      <c r="F820" s="47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66"/>
      <c r="D821" s="15"/>
      <c r="E821" s="46"/>
      <c r="F821" s="47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66"/>
      <c r="D822" s="15"/>
      <c r="E822" s="46"/>
      <c r="F822" s="47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66"/>
      <c r="D823" s="15"/>
      <c r="E823" s="46"/>
      <c r="F823" s="47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66"/>
      <c r="D824" s="15"/>
      <c r="E824" s="46"/>
      <c r="F824" s="47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66"/>
      <c r="D825" s="15"/>
      <c r="E825" s="46"/>
      <c r="F825" s="47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66"/>
      <c r="D826" s="15"/>
      <c r="E826" s="46"/>
      <c r="F826" s="47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66"/>
      <c r="D827" s="15"/>
      <c r="E827" s="46"/>
      <c r="F827" s="47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66"/>
      <c r="D828" s="15"/>
      <c r="E828" s="46"/>
      <c r="F828" s="47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66"/>
      <c r="D829" s="15"/>
      <c r="E829" s="46"/>
      <c r="F829" s="47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66"/>
      <c r="D830" s="15"/>
      <c r="E830" s="46"/>
      <c r="F830" s="47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66"/>
      <c r="D831" s="15"/>
      <c r="E831" s="46"/>
      <c r="F831" s="47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66"/>
      <c r="D832" s="15"/>
      <c r="E832" s="46"/>
      <c r="F832" s="47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66"/>
      <c r="D833" s="15"/>
      <c r="E833" s="46"/>
      <c r="F833" s="47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66"/>
      <c r="D834" s="15"/>
      <c r="E834" s="46"/>
      <c r="F834" s="47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66"/>
      <c r="D835" s="15"/>
      <c r="E835" s="46"/>
      <c r="F835" s="47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66"/>
      <c r="D836" s="15"/>
      <c r="E836" s="46"/>
      <c r="F836" s="47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66"/>
      <c r="D837" s="15"/>
      <c r="E837" s="46"/>
      <c r="F837" s="47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66"/>
      <c r="D838" s="15"/>
      <c r="E838" s="46"/>
      <c r="F838" s="47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66"/>
      <c r="D839" s="15"/>
      <c r="E839" s="46"/>
      <c r="F839" s="47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66"/>
      <c r="D840" s="15"/>
      <c r="E840" s="46"/>
      <c r="F840" s="47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66"/>
      <c r="D841" s="15"/>
      <c r="E841" s="46"/>
      <c r="F841" s="47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66"/>
      <c r="D842" s="15"/>
      <c r="E842" s="46"/>
      <c r="F842" s="47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66"/>
      <c r="D843" s="15"/>
      <c r="E843" s="46"/>
      <c r="F843" s="4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66"/>
      <c r="D844" s="15"/>
      <c r="E844" s="46"/>
      <c r="F844" s="4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66"/>
      <c r="D845" s="15"/>
      <c r="E845" s="46"/>
      <c r="F845" s="47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66"/>
      <c r="D846" s="15"/>
      <c r="E846" s="46"/>
      <c r="F846" s="47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66"/>
      <c r="D847" s="15"/>
      <c r="E847" s="46"/>
      <c r="F847" s="47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66"/>
      <c r="D848" s="15"/>
      <c r="E848" s="46"/>
      <c r="F848" s="47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66"/>
      <c r="D849" s="15"/>
      <c r="E849" s="46"/>
      <c r="F849" s="47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66"/>
      <c r="D850" s="15"/>
      <c r="E850" s="46"/>
      <c r="F850" s="47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66"/>
      <c r="D851" s="15"/>
      <c r="E851" s="46"/>
      <c r="F851" s="47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66"/>
      <c r="D852" s="15"/>
      <c r="E852" s="46"/>
      <c r="F852" s="47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66"/>
      <c r="D853" s="15"/>
      <c r="E853" s="46"/>
      <c r="F853" s="47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66"/>
      <c r="D854" s="15"/>
      <c r="E854" s="46"/>
      <c r="F854" s="47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66"/>
      <c r="D855" s="15"/>
      <c r="E855" s="46"/>
      <c r="F855" s="47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66"/>
      <c r="D856" s="15"/>
      <c r="E856" s="46"/>
      <c r="F856" s="47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66"/>
      <c r="D857" s="15"/>
      <c r="E857" s="46"/>
      <c r="F857" s="47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66"/>
      <c r="D858" s="15"/>
      <c r="E858" s="46"/>
      <c r="F858" s="47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66"/>
      <c r="D859" s="15"/>
      <c r="E859" s="46"/>
      <c r="F859" s="47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66"/>
      <c r="D860" s="15"/>
      <c r="E860" s="46"/>
      <c r="F860" s="47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66"/>
      <c r="D861" s="15"/>
      <c r="E861" s="46"/>
      <c r="F861" s="47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66"/>
      <c r="D862" s="15"/>
      <c r="E862" s="46"/>
      <c r="F862" s="47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66"/>
      <c r="D863" s="15"/>
      <c r="E863" s="46"/>
      <c r="F863" s="47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66"/>
      <c r="D864" s="15"/>
      <c r="E864" s="46"/>
      <c r="F864" s="47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66"/>
      <c r="D865" s="15"/>
      <c r="E865" s="46"/>
      <c r="F865" s="47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66"/>
      <c r="D866" s="15"/>
      <c r="E866" s="46"/>
      <c r="F866" s="47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66"/>
      <c r="D867" s="15"/>
      <c r="E867" s="46"/>
      <c r="F867" s="47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66"/>
      <c r="D868" s="15"/>
      <c r="E868" s="46"/>
      <c r="F868" s="47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66"/>
      <c r="D869" s="15"/>
      <c r="E869" s="46"/>
      <c r="F869" s="47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66"/>
      <c r="D870" s="15"/>
      <c r="E870" s="46"/>
      <c r="F870" s="47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66"/>
      <c r="D871" s="15"/>
      <c r="E871" s="46"/>
      <c r="F871" s="47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66"/>
      <c r="D872" s="15"/>
      <c r="E872" s="46"/>
      <c r="F872" s="47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66"/>
      <c r="D873" s="15"/>
      <c r="E873" s="46"/>
      <c r="F873" s="47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66"/>
      <c r="D874" s="15"/>
      <c r="E874" s="46"/>
      <c r="F874" s="47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66"/>
      <c r="D875" s="15"/>
      <c r="E875" s="46"/>
      <c r="F875" s="47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66"/>
      <c r="D876" s="15"/>
      <c r="E876" s="46"/>
      <c r="F876" s="47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66"/>
      <c r="D877" s="15"/>
      <c r="E877" s="46"/>
      <c r="F877" s="47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66"/>
      <c r="D878" s="15"/>
      <c r="E878" s="46"/>
      <c r="F878" s="47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66"/>
      <c r="D879" s="15"/>
      <c r="E879" s="46"/>
      <c r="F879" s="47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66"/>
      <c r="D880" s="15"/>
      <c r="E880" s="46"/>
      <c r="F880" s="47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66"/>
      <c r="D881" s="15"/>
      <c r="E881" s="46"/>
      <c r="F881" s="47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66"/>
      <c r="D882" s="15"/>
      <c r="E882" s="46"/>
      <c r="F882" s="47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66"/>
      <c r="D883" s="15"/>
      <c r="E883" s="46"/>
      <c r="F883" s="47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66"/>
      <c r="D884" s="15"/>
      <c r="E884" s="46"/>
      <c r="F884" s="47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66"/>
      <c r="D885" s="15"/>
      <c r="E885" s="46"/>
      <c r="F885" s="47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66"/>
      <c r="D886" s="15"/>
      <c r="E886" s="46"/>
      <c r="F886" s="47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66"/>
      <c r="D887" s="15"/>
      <c r="E887" s="46"/>
      <c r="F887" s="47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66"/>
      <c r="D888" s="15"/>
      <c r="E888" s="46"/>
      <c r="F888" s="47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66"/>
      <c r="D889" s="15"/>
      <c r="E889" s="46"/>
      <c r="F889" s="47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66"/>
      <c r="D890" s="15"/>
      <c r="E890" s="46"/>
      <c r="F890" s="47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66"/>
      <c r="D891" s="15"/>
      <c r="E891" s="46"/>
      <c r="F891" s="47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66"/>
      <c r="D892" s="15"/>
      <c r="E892" s="46"/>
      <c r="F892" s="47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66"/>
      <c r="D893" s="15"/>
      <c r="E893" s="46"/>
      <c r="F893" s="47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66"/>
      <c r="D894" s="15"/>
      <c r="E894" s="46"/>
      <c r="F894" s="47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66"/>
      <c r="D895" s="15"/>
      <c r="E895" s="46"/>
      <c r="F895" s="47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66"/>
      <c r="D896" s="15"/>
      <c r="E896" s="46"/>
      <c r="F896" s="47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66"/>
      <c r="D897" s="15"/>
      <c r="E897" s="46"/>
      <c r="F897" s="47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66"/>
      <c r="D898" s="15"/>
      <c r="E898" s="46"/>
      <c r="F898" s="47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66"/>
      <c r="D899" s="15"/>
      <c r="E899" s="46"/>
      <c r="F899" s="47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66"/>
      <c r="D900" s="15"/>
      <c r="E900" s="46"/>
      <c r="F900" s="47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66"/>
      <c r="D901" s="15"/>
      <c r="E901" s="46"/>
      <c r="F901" s="47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66"/>
      <c r="D902" s="15"/>
      <c r="E902" s="46"/>
      <c r="F902" s="47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66"/>
      <c r="D903" s="15"/>
      <c r="E903" s="46"/>
      <c r="F903" s="47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66"/>
      <c r="D904" s="15"/>
      <c r="E904" s="46"/>
      <c r="F904" s="47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66"/>
      <c r="D905" s="15"/>
      <c r="E905" s="46"/>
      <c r="F905" s="47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66"/>
      <c r="D906" s="15"/>
      <c r="E906" s="46"/>
      <c r="F906" s="47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66"/>
      <c r="D907" s="15"/>
      <c r="E907" s="46"/>
      <c r="F907" s="47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66"/>
      <c r="D908" s="15"/>
      <c r="E908" s="46"/>
      <c r="F908" s="47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66"/>
      <c r="D909" s="15"/>
      <c r="E909" s="46"/>
      <c r="F909" s="47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66"/>
      <c r="D910" s="15"/>
      <c r="E910" s="46"/>
      <c r="F910" s="47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66"/>
      <c r="D911" s="15"/>
      <c r="E911" s="46"/>
      <c r="F911" s="47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66"/>
      <c r="D912" s="15"/>
      <c r="E912" s="46"/>
      <c r="F912" s="47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66"/>
      <c r="D913" s="15"/>
      <c r="E913" s="46"/>
      <c r="F913" s="47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66"/>
      <c r="D914" s="15"/>
      <c r="E914" s="46"/>
      <c r="F914" s="4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66"/>
      <c r="D915" s="15"/>
      <c r="E915" s="46"/>
      <c r="F915" s="47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66"/>
      <c r="D916" s="15"/>
      <c r="E916" s="46"/>
      <c r="F916" s="47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66"/>
      <c r="D917" s="15"/>
      <c r="E917" s="46"/>
      <c r="F917" s="47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66"/>
      <c r="D918" s="15"/>
      <c r="E918" s="46"/>
      <c r="F918" s="47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66"/>
      <c r="D919" s="15"/>
      <c r="E919" s="46"/>
      <c r="F919" s="47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66"/>
      <c r="D920" s="15"/>
      <c r="E920" s="46"/>
      <c r="F920" s="47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66"/>
      <c r="D921" s="15"/>
      <c r="E921" s="46"/>
      <c r="F921" s="47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66"/>
      <c r="D922" s="15"/>
      <c r="E922" s="46"/>
      <c r="F922" s="47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66"/>
      <c r="D923" s="15"/>
      <c r="E923" s="46"/>
      <c r="F923" s="47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66"/>
      <c r="D924" s="15"/>
      <c r="E924" s="46"/>
      <c r="F924" s="47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66"/>
      <c r="D925" s="15"/>
      <c r="E925" s="46"/>
      <c r="F925" s="47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66"/>
      <c r="D926" s="15"/>
      <c r="E926" s="46"/>
      <c r="F926" s="47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66"/>
      <c r="D927" s="15"/>
      <c r="E927" s="46"/>
      <c r="F927" s="47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66"/>
      <c r="D928" s="15"/>
      <c r="E928" s="46"/>
      <c r="F928" s="47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66"/>
      <c r="D929" s="15"/>
      <c r="E929" s="46"/>
      <c r="F929" s="47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66"/>
      <c r="D930" s="15"/>
      <c r="E930" s="46"/>
      <c r="F930" s="47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66"/>
      <c r="D931" s="15"/>
      <c r="E931" s="46"/>
      <c r="F931" s="47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66"/>
      <c r="D932" s="15"/>
      <c r="E932" s="46"/>
      <c r="F932" s="47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66"/>
      <c r="D933" s="15"/>
      <c r="E933" s="46"/>
      <c r="F933" s="47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66"/>
      <c r="D934" s="15"/>
      <c r="E934" s="46"/>
      <c r="F934" s="47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66"/>
      <c r="D935" s="15"/>
      <c r="E935" s="46"/>
      <c r="F935" s="47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66"/>
      <c r="D936" s="15"/>
      <c r="E936" s="46"/>
      <c r="F936" s="47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66"/>
      <c r="D937" s="15"/>
      <c r="E937" s="46"/>
      <c r="F937" s="47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66"/>
      <c r="D938" s="15"/>
      <c r="E938" s="46"/>
      <c r="F938" s="47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66"/>
      <c r="D939" s="15"/>
      <c r="E939" s="46"/>
      <c r="F939" s="47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66"/>
      <c r="D940" s="15"/>
      <c r="E940" s="46"/>
      <c r="F940" s="47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66"/>
      <c r="D941" s="15"/>
      <c r="E941" s="46"/>
      <c r="F941" s="47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66"/>
      <c r="D942" s="15"/>
      <c r="E942" s="46"/>
      <c r="F942" s="47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66"/>
      <c r="D943" s="15"/>
      <c r="E943" s="46"/>
      <c r="F943" s="47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66"/>
      <c r="D944" s="15"/>
      <c r="E944" s="46"/>
      <c r="F944" s="47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66"/>
      <c r="D945" s="15"/>
      <c r="E945" s="46"/>
      <c r="F945" s="47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66"/>
      <c r="D946" s="15"/>
      <c r="E946" s="46"/>
      <c r="F946" s="47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66"/>
      <c r="D947" s="15"/>
      <c r="E947" s="46"/>
      <c r="F947" s="47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66"/>
      <c r="D948" s="15"/>
      <c r="E948" s="46"/>
      <c r="F948" s="47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66"/>
      <c r="D949" s="15"/>
      <c r="E949" s="46"/>
      <c r="F949" s="47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66"/>
      <c r="D950" s="15"/>
      <c r="E950" s="46"/>
      <c r="F950" s="47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66"/>
      <c r="D951" s="15"/>
      <c r="E951" s="46"/>
      <c r="F951" s="47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66"/>
      <c r="D952" s="15"/>
      <c r="E952" s="46"/>
      <c r="F952" s="47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66"/>
      <c r="D953" s="15"/>
      <c r="E953" s="46"/>
      <c r="F953" s="47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66"/>
      <c r="D954" s="15"/>
      <c r="E954" s="46"/>
      <c r="F954" s="47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66"/>
      <c r="D955" s="15"/>
      <c r="E955" s="46"/>
      <c r="F955" s="47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66"/>
      <c r="D956" s="15"/>
      <c r="E956" s="46"/>
      <c r="F956" s="47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66"/>
      <c r="D957" s="15"/>
      <c r="E957" s="46"/>
      <c r="F957" s="47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66"/>
      <c r="D958" s="15"/>
      <c r="E958" s="46"/>
      <c r="F958" s="47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66"/>
      <c r="D959" s="15"/>
      <c r="E959" s="46"/>
      <c r="F959" s="47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66"/>
      <c r="D960" s="15"/>
      <c r="E960" s="46"/>
      <c r="F960" s="47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66"/>
      <c r="D961" s="15"/>
      <c r="E961" s="46"/>
      <c r="F961" s="47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66"/>
      <c r="D962" s="15"/>
      <c r="E962" s="46"/>
      <c r="F962" s="47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66"/>
      <c r="D963" s="15"/>
      <c r="E963" s="46"/>
      <c r="F963" s="47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66"/>
      <c r="D964" s="15"/>
      <c r="E964" s="46"/>
      <c r="F964" s="47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66"/>
      <c r="D965" s="15"/>
      <c r="E965" s="46"/>
      <c r="F965" s="47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66"/>
      <c r="D966" s="15"/>
      <c r="E966" s="46"/>
      <c r="F966" s="47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66"/>
      <c r="D967" s="15"/>
      <c r="E967" s="46"/>
      <c r="F967" s="47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66"/>
      <c r="D968" s="15"/>
      <c r="E968" s="46"/>
      <c r="F968" s="47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66"/>
      <c r="D969" s="15"/>
      <c r="E969" s="46"/>
      <c r="F969" s="47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66"/>
      <c r="D970" s="15"/>
      <c r="E970" s="46"/>
      <c r="F970" s="47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66"/>
      <c r="D971" s="15"/>
      <c r="E971" s="46"/>
      <c r="F971" s="47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66"/>
      <c r="D972" s="15"/>
      <c r="E972" s="46"/>
      <c r="F972" s="47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66"/>
      <c r="D973" s="15"/>
      <c r="E973" s="46"/>
      <c r="F973" s="47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66"/>
      <c r="D974" s="15"/>
      <c r="E974" s="46"/>
      <c r="F974" s="47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66"/>
      <c r="D975" s="15"/>
      <c r="E975" s="46"/>
      <c r="F975" s="47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66"/>
      <c r="D976" s="15"/>
      <c r="E976" s="46"/>
      <c r="F976" s="47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66"/>
      <c r="D977" s="15"/>
      <c r="E977" s="46"/>
      <c r="F977" s="47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66"/>
      <c r="D978" s="15"/>
      <c r="E978" s="46"/>
      <c r="F978" s="47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66"/>
      <c r="D979" s="15"/>
      <c r="E979" s="46"/>
      <c r="F979" s="47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66"/>
      <c r="D980" s="15"/>
      <c r="E980" s="46"/>
      <c r="F980" s="47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66"/>
      <c r="D981" s="15"/>
      <c r="E981" s="46"/>
      <c r="F981" s="47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66"/>
      <c r="D982" s="15"/>
      <c r="E982" s="46"/>
      <c r="F982" s="47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66"/>
      <c r="D983" s="15"/>
      <c r="E983" s="46"/>
      <c r="F983" s="47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66"/>
      <c r="D984" s="15"/>
      <c r="E984" s="46"/>
      <c r="F984" s="47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66"/>
      <c r="D985" s="15"/>
      <c r="E985" s="46"/>
      <c r="F985" s="47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66"/>
      <c r="D986" s="15"/>
      <c r="E986" s="46"/>
      <c r="F986" s="47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66"/>
      <c r="D987" s="15"/>
      <c r="E987" s="46"/>
      <c r="F987" s="47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66"/>
      <c r="D988" s="15"/>
      <c r="E988" s="46"/>
      <c r="F988" s="47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66"/>
      <c r="D989" s="15"/>
      <c r="E989" s="46"/>
      <c r="F989" s="47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66"/>
      <c r="D990" s="15"/>
      <c r="E990" s="46"/>
      <c r="F990" s="47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66"/>
      <c r="D991" s="15"/>
      <c r="E991" s="46"/>
      <c r="F991" s="47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66"/>
      <c r="D992" s="15"/>
      <c r="E992" s="46"/>
      <c r="F992" s="47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66"/>
      <c r="D993" s="15"/>
      <c r="E993" s="46"/>
      <c r="F993" s="47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66"/>
      <c r="D994" s="15"/>
      <c r="E994" s="46"/>
      <c r="F994" s="47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66"/>
      <c r="D995" s="15"/>
      <c r="E995" s="46"/>
      <c r="F995" s="47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66"/>
      <c r="D996" s="15"/>
      <c r="E996" s="46"/>
      <c r="F996" s="47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43"/>
    <col customWidth="1" min="6" max="6" width="40.0"/>
  </cols>
  <sheetData>
    <row r="3">
      <c r="A3" s="23"/>
      <c r="F3" s="67"/>
    </row>
    <row r="4">
      <c r="A4" s="20"/>
    </row>
    <row r="5">
      <c r="A5" s="23"/>
    </row>
    <row r="6">
      <c r="A6" s="23"/>
    </row>
    <row r="7">
      <c r="A7" s="23"/>
    </row>
    <row r="8">
      <c r="A8" s="23"/>
    </row>
    <row r="9">
      <c r="A9" s="23"/>
    </row>
    <row r="10">
      <c r="A10" s="23"/>
    </row>
    <row r="11">
      <c r="A11" s="23"/>
    </row>
    <row r="12">
      <c r="A12" s="23"/>
    </row>
    <row r="13">
      <c r="A13" s="23"/>
    </row>
    <row r="14">
      <c r="A14" s="23"/>
    </row>
    <row r="15">
      <c r="A15" s="23"/>
    </row>
    <row r="16">
      <c r="A16" s="23"/>
    </row>
    <row r="17">
      <c r="A17" s="23"/>
    </row>
    <row r="18">
      <c r="A18" s="23"/>
    </row>
    <row r="19">
      <c r="A19" s="20"/>
    </row>
    <row r="20">
      <c r="A20" s="23"/>
    </row>
    <row r="21">
      <c r="A21" s="23"/>
    </row>
    <row r="22">
      <c r="A22" s="23"/>
    </row>
    <row r="23">
      <c r="A23" s="20"/>
    </row>
    <row r="24">
      <c r="A24" s="23"/>
    </row>
    <row r="25">
      <c r="A25" s="20"/>
    </row>
    <row r="26">
      <c r="A26" s="23"/>
    </row>
    <row r="27">
      <c r="A27" s="23"/>
    </row>
    <row r="28">
      <c r="A28" s="20"/>
    </row>
    <row r="29">
      <c r="A29" s="23"/>
    </row>
    <row r="30">
      <c r="A30" s="23"/>
    </row>
    <row r="31">
      <c r="A31" s="23"/>
    </row>
    <row r="32">
      <c r="A32" s="20"/>
    </row>
    <row r="33">
      <c r="A33" s="20"/>
    </row>
    <row r="34">
      <c r="A34" s="20"/>
    </row>
    <row r="35">
      <c r="A35" s="23"/>
    </row>
    <row r="36">
      <c r="A36" s="23"/>
    </row>
    <row r="37">
      <c r="A37" s="23"/>
    </row>
    <row r="38">
      <c r="A38" s="20"/>
    </row>
    <row r="39">
      <c r="A39" s="20"/>
    </row>
    <row r="40">
      <c r="A40" s="23"/>
    </row>
    <row r="41">
      <c r="A41" s="23"/>
    </row>
    <row r="42">
      <c r="A42" s="23"/>
    </row>
    <row r="43">
      <c r="A43" s="20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0"/>
    </row>
    <row r="53">
      <c r="A53" s="23"/>
    </row>
    <row r="54">
      <c r="A54" s="23"/>
    </row>
    <row r="55">
      <c r="A55" s="25"/>
    </row>
    <row r="56">
      <c r="A56" s="23"/>
    </row>
    <row r="57">
      <c r="A57" s="23"/>
    </row>
    <row r="58">
      <c r="A58" s="20"/>
    </row>
    <row r="59">
      <c r="A59" s="20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0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0"/>
    </row>
    <row r="79">
      <c r="A79" s="23"/>
    </row>
    <row r="80">
      <c r="A80" s="20"/>
    </row>
    <row r="81">
      <c r="A81" s="23"/>
    </row>
    <row r="82">
      <c r="A82" s="23"/>
    </row>
    <row r="83">
      <c r="A83" s="23"/>
    </row>
    <row r="84">
      <c r="A84" s="20"/>
    </row>
    <row r="85">
      <c r="A85" s="23"/>
    </row>
    <row r="86">
      <c r="A86" s="23"/>
    </row>
    <row r="87">
      <c r="A87" s="20"/>
    </row>
    <row r="88">
      <c r="A88" s="23"/>
    </row>
    <row r="89">
      <c r="A89" s="23"/>
    </row>
    <row r="90">
      <c r="A90" s="23"/>
    </row>
    <row r="91">
      <c r="A91" s="23"/>
    </row>
  </sheetData>
  <dataValidations>
    <dataValidation type="list" allowBlank="1" showErrorMessage="1" sqref="F3">
      <formula1>Sheet2!$A$3:$A$47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10.71"/>
    <col customWidth="1" min="3" max="3" width="7.0"/>
    <col customWidth="1" min="4" max="4" width="10.43"/>
    <col customWidth="1" min="5" max="26" width="8.71"/>
  </cols>
  <sheetData>
    <row r="1">
      <c r="A1" s="68" t="s">
        <v>0</v>
      </c>
      <c r="B1" s="69"/>
      <c r="C1" s="69"/>
      <c r="D1" s="70"/>
    </row>
    <row r="2">
      <c r="A2" s="71" t="s">
        <v>201</v>
      </c>
      <c r="B2" s="72"/>
      <c r="C2" s="72"/>
      <c r="D2" s="70"/>
    </row>
    <row r="3">
      <c r="A3" s="73" t="s">
        <v>202</v>
      </c>
      <c r="B3" s="69"/>
      <c r="C3" s="69"/>
      <c r="D3" s="70"/>
    </row>
    <row r="4">
      <c r="A4" s="74" t="s">
        <v>203</v>
      </c>
      <c r="B4" s="75"/>
      <c r="C4" s="75"/>
      <c r="D4" s="75"/>
    </row>
    <row r="5" ht="51.0" customHeight="1">
      <c r="A5" s="76" t="s">
        <v>1</v>
      </c>
    </row>
    <row r="6" ht="25.5" customHeight="1">
      <c r="A6" s="77" t="s">
        <v>204</v>
      </c>
    </row>
    <row r="7" ht="25.5" customHeight="1">
      <c r="A7" s="77" t="s">
        <v>205</v>
      </c>
    </row>
    <row r="8">
      <c r="A8" s="78" t="s">
        <v>206</v>
      </c>
      <c r="B8" s="79" t="s">
        <v>1</v>
      </c>
      <c r="C8" s="75"/>
      <c r="D8" s="75"/>
    </row>
    <row r="9">
      <c r="A9" s="80" t="s">
        <v>206</v>
      </c>
      <c r="B9" s="81" t="s">
        <v>207</v>
      </c>
      <c r="C9" s="72"/>
      <c r="D9" s="72"/>
    </row>
    <row r="10">
      <c r="A10" s="82" t="s">
        <v>208</v>
      </c>
      <c r="B10" s="83" t="s">
        <v>205</v>
      </c>
    </row>
    <row r="11">
      <c r="A11" s="82" t="s">
        <v>206</v>
      </c>
      <c r="B11" s="81" t="s">
        <v>209</v>
      </c>
      <c r="C11" s="72"/>
      <c r="D11" s="72"/>
    </row>
    <row r="12">
      <c r="A12" s="84" t="s">
        <v>206</v>
      </c>
      <c r="B12" s="85" t="s">
        <v>210</v>
      </c>
      <c r="C12" s="86" t="s">
        <v>211</v>
      </c>
      <c r="D12" s="85" t="s">
        <v>212</v>
      </c>
    </row>
    <row r="13">
      <c r="A13" s="87" t="s">
        <v>7</v>
      </c>
      <c r="B13" s="88"/>
      <c r="C13" s="89"/>
      <c r="D13" s="90">
        <v>335157.32</v>
      </c>
    </row>
    <row r="14">
      <c r="A14" s="91" t="s">
        <v>11</v>
      </c>
      <c r="B14" s="92">
        <v>768.0</v>
      </c>
      <c r="C14" s="93">
        <v>53.67</v>
      </c>
      <c r="D14" s="93">
        <v>41220.5</v>
      </c>
    </row>
    <row r="15">
      <c r="A15" s="91" t="s">
        <v>13</v>
      </c>
      <c r="B15" s="92">
        <v>1003.0</v>
      </c>
      <c r="C15" s="93">
        <v>53.01</v>
      </c>
      <c r="D15" s="93">
        <v>53166.33</v>
      </c>
    </row>
    <row r="16">
      <c r="A16" s="91" t="s">
        <v>15</v>
      </c>
      <c r="B16" s="92">
        <v>197.0</v>
      </c>
      <c r="C16" s="93">
        <v>116.67</v>
      </c>
      <c r="D16" s="93">
        <v>22983.99</v>
      </c>
    </row>
    <row r="17">
      <c r="A17" s="91" t="s">
        <v>17</v>
      </c>
      <c r="B17" s="92">
        <v>24.0</v>
      </c>
      <c r="C17" s="93">
        <v>225.85</v>
      </c>
      <c r="D17" s="93">
        <v>5420.33</v>
      </c>
    </row>
    <row r="18">
      <c r="A18" s="91" t="s">
        <v>19</v>
      </c>
      <c r="B18" s="92">
        <v>7.0</v>
      </c>
      <c r="C18" s="93">
        <v>122.79</v>
      </c>
      <c r="D18" s="93">
        <v>859.53</v>
      </c>
    </row>
    <row r="19">
      <c r="A19" s="91" t="s">
        <v>21</v>
      </c>
      <c r="B19" s="92">
        <v>120.0</v>
      </c>
      <c r="C19" s="93">
        <v>76.0</v>
      </c>
      <c r="D19" s="93">
        <v>9120.15</v>
      </c>
    </row>
    <row r="20">
      <c r="A20" s="91" t="s">
        <v>23</v>
      </c>
      <c r="B20" s="92">
        <v>312.0</v>
      </c>
      <c r="C20" s="93">
        <v>76.14</v>
      </c>
      <c r="D20" s="93">
        <v>23755.22</v>
      </c>
    </row>
    <row r="21" ht="15.75" customHeight="1">
      <c r="A21" s="91" t="s">
        <v>25</v>
      </c>
      <c r="B21" s="92">
        <v>120.0</v>
      </c>
      <c r="C21" s="93">
        <v>76.0</v>
      </c>
      <c r="D21" s="93">
        <v>9120.15</v>
      </c>
    </row>
    <row r="22" ht="15.75" customHeight="1">
      <c r="A22" s="91" t="s">
        <v>27</v>
      </c>
      <c r="B22" s="92">
        <v>96.0</v>
      </c>
      <c r="C22" s="93">
        <v>78.2</v>
      </c>
      <c r="D22" s="93">
        <v>7507.2</v>
      </c>
    </row>
    <row r="23" ht="15.75" customHeight="1">
      <c r="A23" s="91" t="s">
        <v>29</v>
      </c>
      <c r="B23" s="94"/>
      <c r="C23" s="94"/>
      <c r="D23" s="94"/>
    </row>
    <row r="24" ht="15.75" customHeight="1">
      <c r="A24" s="91" t="s">
        <v>31</v>
      </c>
      <c r="B24" s="92">
        <v>76.0</v>
      </c>
      <c r="C24" s="93">
        <v>78.2</v>
      </c>
      <c r="D24" s="93">
        <v>5943.2</v>
      </c>
    </row>
    <row r="25" ht="15.75" customHeight="1">
      <c r="A25" s="91" t="s">
        <v>33</v>
      </c>
      <c r="B25" s="95">
        <v>72.0</v>
      </c>
      <c r="C25" s="93">
        <v>102.0</v>
      </c>
      <c r="D25" s="93">
        <v>7344.0</v>
      </c>
    </row>
    <row r="26" ht="15.75" customHeight="1">
      <c r="A26" s="91" t="s">
        <v>35</v>
      </c>
      <c r="B26" s="92">
        <v>24.0</v>
      </c>
      <c r="C26" s="93">
        <v>108.86</v>
      </c>
      <c r="D26" s="93">
        <v>2612.57</v>
      </c>
    </row>
    <row r="27" ht="15.75" customHeight="1">
      <c r="A27" s="91" t="s">
        <v>37</v>
      </c>
      <c r="B27" s="92">
        <v>72.0</v>
      </c>
      <c r="C27" s="93">
        <v>105.0</v>
      </c>
      <c r="D27" s="93">
        <v>7560.0</v>
      </c>
    </row>
    <row r="28" ht="15.75" customHeight="1">
      <c r="A28" s="91" t="s">
        <v>39</v>
      </c>
      <c r="B28" s="92">
        <v>190.0</v>
      </c>
      <c r="C28" s="93">
        <v>207.31</v>
      </c>
      <c r="D28" s="93">
        <v>39389.79</v>
      </c>
    </row>
    <row r="29" ht="15.75" customHeight="1">
      <c r="A29" s="91" t="s">
        <v>41</v>
      </c>
      <c r="B29" s="95">
        <v>16.0</v>
      </c>
      <c r="C29" s="93">
        <v>250.0</v>
      </c>
      <c r="D29" s="93">
        <v>4000.0</v>
      </c>
    </row>
    <row r="30" ht="15.75" customHeight="1">
      <c r="A30" s="91" t="s">
        <v>43</v>
      </c>
      <c r="B30" s="92">
        <v>576.0</v>
      </c>
      <c r="C30" s="93">
        <v>125.84</v>
      </c>
      <c r="D30" s="93">
        <v>72483.59</v>
      </c>
    </row>
    <row r="31" ht="15.75" customHeight="1">
      <c r="A31" s="91" t="s">
        <v>45</v>
      </c>
      <c r="B31" s="92">
        <v>96.0</v>
      </c>
      <c r="C31" s="93">
        <v>121.15</v>
      </c>
      <c r="D31" s="93">
        <v>11630.77</v>
      </c>
    </row>
    <row r="32" ht="15.75" customHeight="1">
      <c r="A32" s="91" t="s">
        <v>47</v>
      </c>
      <c r="B32" s="92">
        <v>96.0</v>
      </c>
      <c r="C32" s="93">
        <v>115.0</v>
      </c>
      <c r="D32" s="93">
        <v>11040.0</v>
      </c>
    </row>
    <row r="33" ht="15.75" customHeight="1">
      <c r="A33" s="96" t="s">
        <v>49</v>
      </c>
      <c r="B33" s="97">
        <v>47.0</v>
      </c>
      <c r="C33" s="93">
        <v>1.0</v>
      </c>
      <c r="D33" s="98">
        <v>47.0</v>
      </c>
    </row>
    <row r="34" ht="15.75" customHeight="1">
      <c r="A34" s="96" t="s">
        <v>51</v>
      </c>
      <c r="B34" s="97">
        <v>30.0</v>
      </c>
      <c r="C34" s="93">
        <v>1.0</v>
      </c>
      <c r="D34" s="98">
        <v>30.0</v>
      </c>
    </row>
    <row r="35" ht="15.75" customHeight="1">
      <c r="A35" s="96" t="s">
        <v>53</v>
      </c>
      <c r="B35" s="99"/>
      <c r="C35" s="94"/>
      <c r="D35" s="99"/>
    </row>
    <row r="36" ht="15.75" customHeight="1">
      <c r="A36" s="96" t="s">
        <v>55</v>
      </c>
      <c r="B36" s="99"/>
      <c r="C36" s="94"/>
      <c r="D36" s="99"/>
    </row>
    <row r="37" ht="15.75" customHeight="1">
      <c r="A37" s="96" t="s">
        <v>57</v>
      </c>
      <c r="B37" s="100">
        <v>509.0</v>
      </c>
      <c r="C37" s="93">
        <v>40.66</v>
      </c>
      <c r="D37" s="98">
        <v>20698.12</v>
      </c>
    </row>
    <row r="38" ht="15.75" customHeight="1">
      <c r="A38" s="96" t="s">
        <v>59</v>
      </c>
      <c r="B38" s="100">
        <v>25.0</v>
      </c>
      <c r="C38" s="93">
        <v>60.28</v>
      </c>
      <c r="D38" s="98">
        <v>1506.99</v>
      </c>
    </row>
    <row r="39" ht="15.75" customHeight="1">
      <c r="A39" s="96" t="s">
        <v>61</v>
      </c>
      <c r="B39" s="100">
        <v>288.0</v>
      </c>
      <c r="C39" s="93">
        <v>70.43</v>
      </c>
      <c r="D39" s="98">
        <v>20282.83</v>
      </c>
    </row>
    <row r="40" ht="15.75" customHeight="1">
      <c r="A40" s="96" t="s">
        <v>63</v>
      </c>
      <c r="B40" s="100">
        <v>336.0</v>
      </c>
      <c r="C40" s="93">
        <v>38.99</v>
      </c>
      <c r="D40" s="98">
        <v>13099.03</v>
      </c>
    </row>
    <row r="41" ht="15.75" customHeight="1">
      <c r="A41" s="96" t="s">
        <v>65</v>
      </c>
      <c r="B41" s="100">
        <v>68.0</v>
      </c>
      <c r="C41" s="93">
        <v>79.58</v>
      </c>
      <c r="D41" s="98">
        <v>5411.58</v>
      </c>
    </row>
    <row r="42" ht="15.75" customHeight="1">
      <c r="A42" s="96" t="s">
        <v>67</v>
      </c>
      <c r="B42" s="101">
        <v>425.0</v>
      </c>
      <c r="C42" s="93">
        <v>8.6</v>
      </c>
      <c r="D42" s="98">
        <v>3655.0</v>
      </c>
    </row>
    <row r="43" ht="15.75" customHeight="1">
      <c r="A43" s="96" t="s">
        <v>69</v>
      </c>
      <c r="B43" s="100">
        <v>96.0</v>
      </c>
      <c r="C43" s="93">
        <v>132.54</v>
      </c>
      <c r="D43" s="98">
        <v>12724.26</v>
      </c>
    </row>
    <row r="44" ht="15.75" customHeight="1">
      <c r="A44" s="96" t="s">
        <v>71</v>
      </c>
      <c r="B44" s="100">
        <v>475.0</v>
      </c>
      <c r="C44" s="93">
        <v>16.4</v>
      </c>
      <c r="D44" s="98">
        <v>7790.0</v>
      </c>
    </row>
    <row r="45" ht="15.75" customHeight="1">
      <c r="A45" s="96" t="s">
        <v>73</v>
      </c>
      <c r="B45" s="100">
        <v>168.0</v>
      </c>
      <c r="C45" s="93">
        <v>48.86</v>
      </c>
      <c r="D45" s="98">
        <v>8207.72</v>
      </c>
    </row>
    <row r="46" ht="15.75" customHeight="1">
      <c r="A46" s="96" t="s">
        <v>75</v>
      </c>
      <c r="B46" s="99"/>
      <c r="C46" s="94"/>
      <c r="D46" s="99"/>
    </row>
    <row r="47" ht="15.75" customHeight="1">
      <c r="A47" s="96" t="s">
        <v>77</v>
      </c>
      <c r="B47" s="99"/>
      <c r="C47" s="94"/>
      <c r="D47" s="99"/>
    </row>
    <row r="48" ht="15.75" customHeight="1">
      <c r="A48" s="96" t="s">
        <v>79</v>
      </c>
      <c r="B48" s="100">
        <v>48.0</v>
      </c>
      <c r="C48" s="93">
        <v>25.73</v>
      </c>
      <c r="D48" s="98">
        <v>1235.15</v>
      </c>
    </row>
    <row r="49" ht="15.75" customHeight="1">
      <c r="A49" s="96" t="s">
        <v>81</v>
      </c>
      <c r="B49" s="97">
        <v>400.0</v>
      </c>
      <c r="C49" s="93">
        <v>5.4</v>
      </c>
      <c r="D49" s="98">
        <v>2160.0</v>
      </c>
    </row>
    <row r="50" ht="15.75" customHeight="1">
      <c r="A50" s="96" t="s">
        <v>83</v>
      </c>
      <c r="B50" s="99"/>
      <c r="C50" s="94"/>
      <c r="D50" s="99"/>
    </row>
    <row r="51" ht="15.75" customHeight="1">
      <c r="A51" s="96" t="s">
        <v>85</v>
      </c>
      <c r="B51" s="99"/>
      <c r="C51" s="94"/>
      <c r="D51" s="99"/>
    </row>
    <row r="52" ht="15.75" customHeight="1">
      <c r="A52" s="96" t="s">
        <v>87</v>
      </c>
      <c r="B52" s="99"/>
      <c r="C52" s="94"/>
      <c r="D52" s="99"/>
    </row>
    <row r="53" ht="15.75" customHeight="1">
      <c r="A53" s="96" t="s">
        <v>89</v>
      </c>
      <c r="B53" s="100">
        <v>96.0</v>
      </c>
      <c r="C53" s="93">
        <v>37.03</v>
      </c>
      <c r="D53" s="98">
        <v>3554.84</v>
      </c>
    </row>
    <row r="54" ht="15.75" customHeight="1">
      <c r="A54" s="96" t="s">
        <v>91</v>
      </c>
      <c r="B54" s="100">
        <v>50.0</v>
      </c>
      <c r="C54" s="93">
        <v>73.9</v>
      </c>
      <c r="D54" s="98">
        <v>3695.2</v>
      </c>
    </row>
    <row r="55" ht="15.75" customHeight="1">
      <c r="A55" s="96" t="s">
        <v>93</v>
      </c>
      <c r="B55" s="100">
        <v>94.0</v>
      </c>
      <c r="C55" s="93">
        <v>49.9</v>
      </c>
      <c r="D55" s="98">
        <v>4690.61</v>
      </c>
    </row>
    <row r="56" ht="15.75" customHeight="1">
      <c r="A56" s="96" t="s">
        <v>95</v>
      </c>
      <c r="B56" s="100">
        <v>8.0</v>
      </c>
      <c r="C56" s="93">
        <v>308.5</v>
      </c>
      <c r="D56" s="98">
        <v>2468.0</v>
      </c>
    </row>
    <row r="57" ht="15.75" customHeight="1">
      <c r="A57" s="96" t="s">
        <v>97</v>
      </c>
      <c r="B57" s="97">
        <v>600.0</v>
      </c>
      <c r="C57" s="93">
        <v>10.3</v>
      </c>
      <c r="D57" s="98">
        <v>6180.0</v>
      </c>
    </row>
    <row r="58" ht="15.75" customHeight="1">
      <c r="A58" s="96" t="s">
        <v>99</v>
      </c>
      <c r="B58" s="100">
        <v>125.0</v>
      </c>
      <c r="C58" s="93">
        <v>21.05</v>
      </c>
      <c r="D58" s="98">
        <v>2631.25</v>
      </c>
    </row>
    <row r="59" ht="15.75" customHeight="1">
      <c r="A59" s="96" t="s">
        <v>101</v>
      </c>
      <c r="B59" s="100">
        <v>200.0</v>
      </c>
      <c r="C59" s="93">
        <v>23.23</v>
      </c>
      <c r="D59" s="98">
        <v>4646.0</v>
      </c>
    </row>
    <row r="60" ht="15.75" customHeight="1">
      <c r="A60" s="96" t="s">
        <v>103</v>
      </c>
      <c r="B60" s="100">
        <v>2850.0</v>
      </c>
      <c r="C60" s="93">
        <v>29.0</v>
      </c>
      <c r="D60" s="98">
        <v>82655.9</v>
      </c>
    </row>
    <row r="61" ht="15.75" customHeight="1">
      <c r="A61" s="96" t="s">
        <v>105</v>
      </c>
      <c r="B61" s="102">
        <v>600.0</v>
      </c>
      <c r="C61" s="93">
        <v>61.91</v>
      </c>
      <c r="D61" s="98">
        <v>37145.45</v>
      </c>
    </row>
    <row r="62" ht="15.75" customHeight="1">
      <c r="A62" s="96" t="s">
        <v>107</v>
      </c>
      <c r="B62" s="99"/>
      <c r="C62" s="94"/>
      <c r="D62" s="99"/>
    </row>
    <row r="63" ht="15.75" customHeight="1">
      <c r="A63" s="96" t="s">
        <v>109</v>
      </c>
      <c r="B63" s="99"/>
      <c r="C63" s="94"/>
      <c r="D63" s="99"/>
    </row>
    <row r="64" ht="15.75" customHeight="1">
      <c r="A64" s="96" t="s">
        <v>111</v>
      </c>
      <c r="B64" s="97">
        <v>60.0</v>
      </c>
      <c r="C64" s="93">
        <v>147.92</v>
      </c>
      <c r="D64" s="98">
        <v>8875.2</v>
      </c>
    </row>
    <row r="65" ht="15.75" customHeight="1">
      <c r="A65" s="96" t="s">
        <v>113</v>
      </c>
      <c r="B65" s="100">
        <v>1560.0</v>
      </c>
      <c r="C65" s="93">
        <v>5.54</v>
      </c>
      <c r="D65" s="98">
        <v>8639.55</v>
      </c>
    </row>
    <row r="66" ht="15.75" customHeight="1">
      <c r="A66" s="96" t="s">
        <v>115</v>
      </c>
      <c r="B66" s="99"/>
      <c r="C66" s="94"/>
      <c r="D66" s="99"/>
    </row>
    <row r="67" ht="15.75" customHeight="1">
      <c r="A67" s="96" t="s">
        <v>117</v>
      </c>
      <c r="B67" s="100">
        <v>1140.0</v>
      </c>
      <c r="C67" s="93">
        <v>11.09</v>
      </c>
      <c r="D67" s="98">
        <v>12644.04</v>
      </c>
    </row>
    <row r="68" ht="15.75" customHeight="1">
      <c r="A68" s="96" t="s">
        <v>119</v>
      </c>
      <c r="B68" s="99"/>
      <c r="C68" s="94"/>
      <c r="D68" s="99"/>
    </row>
    <row r="69" ht="15.75" customHeight="1">
      <c r="A69" s="96" t="s">
        <v>121</v>
      </c>
      <c r="B69" s="100">
        <v>1421.0</v>
      </c>
      <c r="C69" s="93">
        <v>15.78</v>
      </c>
      <c r="D69" s="98">
        <v>22425.1</v>
      </c>
    </row>
    <row r="70" ht="15.75" customHeight="1">
      <c r="A70" s="96" t="s">
        <v>123</v>
      </c>
      <c r="B70" s="99"/>
      <c r="C70" s="94"/>
      <c r="D70" s="99"/>
    </row>
    <row r="71" ht="15.75" customHeight="1">
      <c r="A71" s="96" t="s">
        <v>125</v>
      </c>
      <c r="B71" s="100">
        <v>1000.0</v>
      </c>
      <c r="C71" s="93">
        <v>5.51</v>
      </c>
      <c r="D71" s="98">
        <v>5513.75</v>
      </c>
    </row>
    <row r="72" ht="15.75" customHeight="1">
      <c r="A72" s="96" t="s">
        <v>127</v>
      </c>
      <c r="B72" s="100">
        <v>540.0</v>
      </c>
      <c r="C72" s="93">
        <v>11.03</v>
      </c>
      <c r="D72" s="98">
        <v>5958.51</v>
      </c>
    </row>
    <row r="73" ht="15.75" customHeight="1">
      <c r="A73" s="96" t="s">
        <v>129</v>
      </c>
      <c r="B73" s="100">
        <v>450.0</v>
      </c>
      <c r="C73" s="93">
        <v>15.94</v>
      </c>
      <c r="D73" s="98">
        <v>7174.8</v>
      </c>
    </row>
    <row r="74" ht="15.75" customHeight="1">
      <c r="A74" s="96" t="s">
        <v>131</v>
      </c>
      <c r="B74" s="100">
        <v>7220.0</v>
      </c>
      <c r="C74" s="93">
        <v>8.01</v>
      </c>
      <c r="D74" s="98">
        <v>57863.9</v>
      </c>
    </row>
    <row r="75" ht="15.75" customHeight="1">
      <c r="A75" s="96" t="s">
        <v>133</v>
      </c>
      <c r="B75" s="99"/>
      <c r="C75" s="94"/>
      <c r="D75" s="99"/>
    </row>
    <row r="76" ht="15.75" customHeight="1">
      <c r="A76" s="96" t="s">
        <v>135</v>
      </c>
      <c r="B76" s="100">
        <v>236.0</v>
      </c>
      <c r="C76" s="93">
        <v>640.82</v>
      </c>
      <c r="D76" s="98">
        <v>151233.43</v>
      </c>
    </row>
    <row r="77" ht="15.75" customHeight="1">
      <c r="A77" s="96" t="s">
        <v>137</v>
      </c>
      <c r="B77" s="100">
        <v>117.0</v>
      </c>
      <c r="C77" s="93">
        <v>265.13</v>
      </c>
      <c r="D77" s="98">
        <v>31020.68</v>
      </c>
    </row>
    <row r="78" ht="15.75" customHeight="1">
      <c r="A78" s="96" t="s">
        <v>139</v>
      </c>
      <c r="B78" s="100">
        <v>7.0</v>
      </c>
      <c r="C78" s="93">
        <v>396.31</v>
      </c>
      <c r="D78" s="98">
        <v>2774.19</v>
      </c>
    </row>
    <row r="79" ht="15.75" customHeight="1">
      <c r="A79" s="96" t="s">
        <v>141</v>
      </c>
      <c r="B79" s="100">
        <v>118.0</v>
      </c>
      <c r="C79" s="93">
        <v>35.08</v>
      </c>
      <c r="D79" s="98">
        <v>4139.57</v>
      </c>
    </row>
    <row r="80" ht="15.75" customHeight="1">
      <c r="A80" s="103" t="s">
        <v>143</v>
      </c>
      <c r="B80" s="104">
        <v>110.0</v>
      </c>
      <c r="C80" s="105">
        <v>238.25</v>
      </c>
      <c r="D80" s="90">
        <v>26207.62</v>
      </c>
    </row>
    <row r="81" ht="15.75" customHeight="1">
      <c r="A81" s="96" t="s">
        <v>145</v>
      </c>
      <c r="B81" s="100">
        <v>13.0</v>
      </c>
      <c r="C81" s="93">
        <v>901.67</v>
      </c>
      <c r="D81" s="98">
        <v>11721.67</v>
      </c>
    </row>
    <row r="82" ht="15.75" customHeight="1">
      <c r="A82" s="96" t="s">
        <v>147</v>
      </c>
      <c r="B82" s="100">
        <v>121.0</v>
      </c>
      <c r="C82" s="93">
        <v>73.56</v>
      </c>
      <c r="D82" s="98">
        <v>8901.0</v>
      </c>
    </row>
    <row r="83" ht="15.75" customHeight="1">
      <c r="A83" s="96" t="s">
        <v>149</v>
      </c>
      <c r="B83" s="100">
        <v>193.0</v>
      </c>
      <c r="C83" s="93">
        <v>484.25</v>
      </c>
      <c r="D83" s="98">
        <v>93459.85</v>
      </c>
    </row>
    <row r="84" ht="15.75" customHeight="1">
      <c r="A84" s="96" t="s">
        <v>151</v>
      </c>
      <c r="B84" s="100">
        <v>91.0</v>
      </c>
      <c r="C84" s="93">
        <v>146.82</v>
      </c>
      <c r="D84" s="98">
        <v>13360.78</v>
      </c>
    </row>
    <row r="85" ht="15.75" customHeight="1">
      <c r="A85" s="96" t="s">
        <v>153</v>
      </c>
      <c r="B85" s="99"/>
      <c r="C85" s="94"/>
      <c r="D85" s="99"/>
    </row>
    <row r="86" ht="15.75" customHeight="1">
      <c r="A86" s="96" t="s">
        <v>155</v>
      </c>
      <c r="B86" s="99"/>
      <c r="C86" s="94"/>
      <c r="D86" s="99"/>
    </row>
    <row r="87" ht="15.75" customHeight="1">
      <c r="A87" s="96" t="s">
        <v>157</v>
      </c>
      <c r="B87" s="100">
        <v>171.0</v>
      </c>
      <c r="C87" s="93">
        <v>25.92</v>
      </c>
      <c r="D87" s="98">
        <v>4432.81</v>
      </c>
    </row>
    <row r="88" ht="15.75" customHeight="1">
      <c r="A88" s="96" t="s">
        <v>159</v>
      </c>
      <c r="B88" s="100">
        <v>260.0</v>
      </c>
      <c r="C88" s="93">
        <v>150.8</v>
      </c>
      <c r="D88" s="98">
        <v>39207.77</v>
      </c>
    </row>
    <row r="89" ht="15.75" customHeight="1">
      <c r="A89" s="96" t="s">
        <v>161</v>
      </c>
      <c r="B89" s="100">
        <v>119.0</v>
      </c>
      <c r="C89" s="93">
        <v>44.49</v>
      </c>
      <c r="D89" s="98">
        <v>5294.78</v>
      </c>
    </row>
    <row r="90" ht="15.75" customHeight="1">
      <c r="A90" s="96" t="s">
        <v>163</v>
      </c>
      <c r="B90" s="100">
        <v>406.0</v>
      </c>
      <c r="C90" s="93">
        <v>91.52</v>
      </c>
      <c r="D90" s="98">
        <v>37158.82</v>
      </c>
    </row>
    <row r="91" ht="15.75" customHeight="1">
      <c r="A91" s="96" t="s">
        <v>165</v>
      </c>
      <c r="B91" s="106">
        <v>6.0</v>
      </c>
      <c r="C91" s="93">
        <v>580.0</v>
      </c>
      <c r="D91" s="98">
        <v>3480.0</v>
      </c>
    </row>
    <row r="92" ht="15.75" customHeight="1">
      <c r="A92" s="96" t="s">
        <v>167</v>
      </c>
      <c r="B92" s="106">
        <v>16.0</v>
      </c>
      <c r="C92" s="93">
        <v>265.0</v>
      </c>
      <c r="D92" s="98">
        <v>4240.0</v>
      </c>
    </row>
    <row r="93" ht="15.75" customHeight="1">
      <c r="A93" s="96" t="s">
        <v>169</v>
      </c>
      <c r="B93" s="97">
        <v>20.0</v>
      </c>
      <c r="C93" s="93">
        <v>1.0</v>
      </c>
      <c r="D93" s="98">
        <v>20.0</v>
      </c>
    </row>
    <row r="94" ht="15.75" customHeight="1">
      <c r="A94" s="96" t="s">
        <v>171</v>
      </c>
      <c r="B94" s="97">
        <v>20.0</v>
      </c>
      <c r="C94" s="93">
        <v>1.0</v>
      </c>
      <c r="D94" s="98">
        <v>20.0</v>
      </c>
    </row>
    <row r="95" ht="15.75" customHeight="1">
      <c r="A95" s="96" t="s">
        <v>173</v>
      </c>
      <c r="B95" s="97">
        <v>240.0</v>
      </c>
      <c r="C95" s="93">
        <v>1.0</v>
      </c>
      <c r="D95" s="98">
        <v>240.0</v>
      </c>
    </row>
    <row r="96" ht="15.75" customHeight="1">
      <c r="A96" s="96" t="s">
        <v>175</v>
      </c>
      <c r="B96" s="97">
        <v>260.0</v>
      </c>
      <c r="C96" s="93">
        <v>1.0</v>
      </c>
      <c r="D96" s="98">
        <v>260.0</v>
      </c>
    </row>
    <row r="97" ht="15.75" customHeight="1">
      <c r="A97" s="96" t="s">
        <v>177</v>
      </c>
      <c r="B97" s="97">
        <v>16.0</v>
      </c>
      <c r="C97" s="93">
        <v>1.0</v>
      </c>
      <c r="D97" s="98">
        <v>16.0</v>
      </c>
    </row>
    <row r="98" ht="15.75" customHeight="1">
      <c r="A98" s="96" t="s">
        <v>179</v>
      </c>
      <c r="B98" s="97">
        <v>48.0</v>
      </c>
      <c r="C98" s="93">
        <v>1.0</v>
      </c>
      <c r="D98" s="98">
        <v>48.0</v>
      </c>
    </row>
    <row r="99" ht="15.75" customHeight="1">
      <c r="A99" s="96" t="s">
        <v>181</v>
      </c>
      <c r="B99" s="97">
        <v>48.0</v>
      </c>
      <c r="C99" s="93">
        <v>1.0</v>
      </c>
      <c r="D99" s="98">
        <v>48.0</v>
      </c>
    </row>
    <row r="100" ht="15.75" customHeight="1">
      <c r="A100" s="96" t="s">
        <v>183</v>
      </c>
      <c r="B100" s="97">
        <v>80.0</v>
      </c>
      <c r="C100" s="93">
        <v>1.0</v>
      </c>
      <c r="D100" s="98">
        <v>80.0</v>
      </c>
    </row>
    <row r="101" ht="15.75" customHeight="1">
      <c r="A101" s="96" t="s">
        <v>185</v>
      </c>
      <c r="B101" s="97">
        <v>225.0</v>
      </c>
      <c r="C101" s="93">
        <v>1.0</v>
      </c>
      <c r="D101" s="98">
        <v>225.0</v>
      </c>
    </row>
    <row r="102" ht="15.75" customHeight="1">
      <c r="A102" s="96" t="s">
        <v>187</v>
      </c>
      <c r="B102" s="97">
        <v>36.0</v>
      </c>
      <c r="C102" s="93">
        <v>1.0</v>
      </c>
      <c r="D102" s="98">
        <v>36.0</v>
      </c>
    </row>
    <row r="103" ht="15.75" customHeight="1">
      <c r="A103" s="103" t="s">
        <v>9</v>
      </c>
      <c r="B103" s="88"/>
      <c r="C103" s="107"/>
      <c r="D103" s="90">
        <v>1146393.07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:D8"/>
    <mergeCell ref="B9:D9"/>
    <mergeCell ref="B10:D10"/>
    <mergeCell ref="B11:D11"/>
    <mergeCell ref="A1:C1"/>
    <mergeCell ref="A2:C2"/>
    <mergeCell ref="A3:C3"/>
    <mergeCell ref="A4:D4"/>
    <mergeCell ref="A5:D5"/>
    <mergeCell ref="A6:D6"/>
    <mergeCell ref="A7:D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3.0"/>
    <col customWidth="1" min="3" max="3" width="25.86"/>
    <col customWidth="1" min="4" max="4" width="17.29"/>
    <col customWidth="1" min="5" max="5" width="23.0"/>
    <col customWidth="1" min="6" max="6" width="18.71"/>
    <col customWidth="1" min="7" max="8" width="17.29"/>
  </cols>
  <sheetData>
    <row r="1" ht="22.5" customHeight="1">
      <c r="A1" s="108" t="s">
        <v>213</v>
      </c>
      <c r="B1" s="108" t="s">
        <v>214</v>
      </c>
      <c r="C1" s="108" t="s">
        <v>215</v>
      </c>
      <c r="D1" s="108" t="s">
        <v>216</v>
      </c>
      <c r="E1" s="108" t="s">
        <v>217</v>
      </c>
      <c r="F1" s="108" t="s">
        <v>218</v>
      </c>
      <c r="G1" s="108" t="s">
        <v>219</v>
      </c>
      <c r="H1" s="108" t="s">
        <v>220</v>
      </c>
    </row>
    <row r="2" ht="22.5" customHeight="1">
      <c r="A2" s="109"/>
      <c r="B2" s="110" t="s">
        <v>221</v>
      </c>
      <c r="C2" s="109"/>
      <c r="D2" s="109"/>
      <c r="E2" s="110" t="s">
        <v>222</v>
      </c>
      <c r="F2" s="111"/>
      <c r="G2" s="109"/>
      <c r="H2" s="109"/>
    </row>
    <row r="3" ht="22.5" customHeight="1">
      <c r="A3" s="109"/>
      <c r="B3" s="110" t="s">
        <v>223</v>
      </c>
      <c r="C3" s="109"/>
      <c r="D3" s="109"/>
      <c r="E3" s="110" t="s">
        <v>224</v>
      </c>
      <c r="F3" s="111"/>
      <c r="G3" s="109"/>
      <c r="H3" s="109"/>
    </row>
    <row r="4" ht="22.5" customHeight="1">
      <c r="A4" s="109"/>
      <c r="B4" s="110" t="s">
        <v>225</v>
      </c>
      <c r="C4" s="109"/>
      <c r="D4" s="109"/>
      <c r="E4" s="110" t="s">
        <v>226</v>
      </c>
      <c r="F4" s="111"/>
      <c r="G4" s="109"/>
      <c r="H4" s="109"/>
    </row>
    <row r="5" ht="22.5" customHeight="1">
      <c r="A5" s="109"/>
      <c r="B5" s="110" t="s">
        <v>227</v>
      </c>
      <c r="C5" s="109"/>
      <c r="D5" s="109"/>
      <c r="E5" s="110" t="s">
        <v>228</v>
      </c>
      <c r="F5" s="111"/>
      <c r="G5" s="109"/>
      <c r="H5" s="109"/>
    </row>
    <row r="6" ht="22.5" customHeight="1">
      <c r="A6" s="109"/>
      <c r="B6" s="110" t="s">
        <v>229</v>
      </c>
      <c r="C6" s="109"/>
      <c r="D6" s="109"/>
      <c r="E6" s="110" t="s">
        <v>230</v>
      </c>
      <c r="F6" s="111"/>
      <c r="G6" s="109"/>
      <c r="H6" s="109"/>
    </row>
    <row r="7" ht="22.5" customHeight="1">
      <c r="A7" s="109"/>
      <c r="B7" s="112"/>
      <c r="C7" s="109"/>
      <c r="D7" s="109"/>
      <c r="E7" s="110" t="s">
        <v>231</v>
      </c>
      <c r="F7" s="111"/>
      <c r="G7" s="109"/>
      <c r="H7" s="109"/>
    </row>
    <row r="8" ht="22.5" customHeight="1">
      <c r="A8" s="109"/>
      <c r="B8" s="112"/>
      <c r="C8" s="109"/>
      <c r="D8" s="109"/>
      <c r="E8" s="112"/>
      <c r="F8" s="111"/>
      <c r="G8" s="109"/>
      <c r="H8" s="109"/>
    </row>
    <row r="9" ht="22.5" customHeight="1">
      <c r="A9" s="109"/>
      <c r="B9" s="112"/>
      <c r="C9" s="109"/>
      <c r="D9" s="109"/>
      <c r="E9" s="112"/>
      <c r="F9" s="111"/>
      <c r="G9" s="109"/>
      <c r="H9" s="109"/>
    </row>
    <row r="10" ht="22.5" customHeight="1">
      <c r="A10" s="109"/>
      <c r="B10" s="112"/>
      <c r="C10" s="109"/>
      <c r="D10" s="109"/>
      <c r="E10" s="112"/>
      <c r="F10" s="111"/>
      <c r="G10" s="109"/>
      <c r="H10" s="109"/>
    </row>
    <row r="11" ht="22.5" customHeight="1">
      <c r="A11" s="109"/>
      <c r="B11" s="112"/>
      <c r="C11" s="109"/>
      <c r="D11" s="109"/>
      <c r="E11" s="112"/>
      <c r="F11" s="111"/>
      <c r="G11" s="109"/>
      <c r="H11" s="109"/>
    </row>
    <row r="12" ht="22.5" customHeight="1">
      <c r="A12" s="109"/>
      <c r="B12" s="112"/>
      <c r="C12" s="109"/>
      <c r="D12" s="109"/>
      <c r="E12" s="112"/>
      <c r="F12" s="111"/>
      <c r="G12" s="109"/>
      <c r="H12" s="109"/>
    </row>
    <row r="13" ht="22.5" customHeight="1">
      <c r="A13" s="109"/>
      <c r="B13" s="112"/>
      <c r="C13" s="109"/>
      <c r="D13" s="109"/>
      <c r="E13" s="112"/>
      <c r="F13" s="111"/>
      <c r="G13" s="109"/>
      <c r="H13" s="109"/>
    </row>
    <row r="14" ht="22.5" customHeight="1">
      <c r="A14" s="109"/>
      <c r="B14" s="112"/>
      <c r="C14" s="109"/>
      <c r="D14" s="109"/>
      <c r="E14" s="112"/>
      <c r="F14" s="111"/>
      <c r="G14" s="109"/>
      <c r="H14" s="109"/>
    </row>
    <row r="15" ht="22.5" customHeight="1">
      <c r="A15" s="109"/>
      <c r="B15" s="112"/>
      <c r="C15" s="109"/>
      <c r="D15" s="109"/>
      <c r="E15" s="112"/>
      <c r="F15" s="111"/>
      <c r="G15" s="109"/>
      <c r="H15" s="109"/>
    </row>
  </sheetData>
  <dataValidations>
    <dataValidation type="list" allowBlank="1" sqref="E2:E15">
      <formula1>"New,In progress,Under review,Published,Suspended,Paused"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A2:A15 C2:C15 H2:H15"/>
    <dataValidation type="list" allowBlank="1" sqref="B2:B15">
      <formula1>"Email,Social media,TV,Blog post,All"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57"/>
    <col customWidth="1" min="2" max="2" width="20.14"/>
    <col customWidth="1" min="3" max="4" width="17.29"/>
    <col customWidth="1" min="5" max="6" width="20.14"/>
    <col customWidth="1" min="7" max="7" width="17.29"/>
  </cols>
  <sheetData>
    <row r="1" ht="22.5" customHeight="1">
      <c r="A1" s="108" t="s">
        <v>232</v>
      </c>
      <c r="B1" s="108" t="s">
        <v>233</v>
      </c>
      <c r="C1" s="108" t="s">
        <v>217</v>
      </c>
      <c r="D1" s="108" t="s">
        <v>216</v>
      </c>
      <c r="E1" s="108" t="s">
        <v>234</v>
      </c>
      <c r="F1" s="108" t="s">
        <v>235</v>
      </c>
      <c r="G1" s="108" t="s">
        <v>220</v>
      </c>
    </row>
    <row r="2" ht="22.5" customHeight="1">
      <c r="A2" s="109"/>
      <c r="B2" s="110" t="s">
        <v>236</v>
      </c>
      <c r="C2" s="110" t="s">
        <v>237</v>
      </c>
      <c r="D2" s="109"/>
      <c r="E2" s="110" t="s">
        <v>238</v>
      </c>
      <c r="F2" s="110" t="s">
        <v>239</v>
      </c>
      <c r="G2" s="109"/>
    </row>
    <row r="3" ht="22.5" customHeight="1">
      <c r="A3" s="109"/>
      <c r="B3" s="110" t="s">
        <v>240</v>
      </c>
      <c r="C3" s="110" t="s">
        <v>224</v>
      </c>
      <c r="D3" s="109"/>
      <c r="E3" s="110" t="s">
        <v>241</v>
      </c>
      <c r="F3" s="110" t="s">
        <v>242</v>
      </c>
      <c r="G3" s="109"/>
    </row>
    <row r="4" ht="22.5" customHeight="1">
      <c r="A4" s="109"/>
      <c r="B4" s="110" t="s">
        <v>243</v>
      </c>
      <c r="C4" s="110" t="s">
        <v>244</v>
      </c>
      <c r="D4" s="109"/>
      <c r="E4" s="110" t="s">
        <v>245</v>
      </c>
      <c r="F4" s="110" t="s">
        <v>246</v>
      </c>
      <c r="G4" s="109"/>
    </row>
    <row r="5" ht="22.5" customHeight="1">
      <c r="A5" s="109"/>
      <c r="B5" s="110" t="s">
        <v>247</v>
      </c>
      <c r="C5" s="110" t="s">
        <v>248</v>
      </c>
      <c r="D5" s="109"/>
      <c r="E5" s="110" t="s">
        <v>249</v>
      </c>
      <c r="F5" s="110" t="s">
        <v>250</v>
      </c>
      <c r="G5" s="109"/>
    </row>
    <row r="6" ht="22.5" customHeight="1">
      <c r="A6" s="109"/>
      <c r="B6" s="112"/>
      <c r="C6" s="112"/>
      <c r="D6" s="109"/>
      <c r="E6" s="110" t="s">
        <v>251</v>
      </c>
      <c r="F6" s="112"/>
      <c r="G6" s="109"/>
    </row>
    <row r="7" ht="22.5" customHeight="1">
      <c r="A7" s="109"/>
      <c r="B7" s="112"/>
      <c r="C7" s="112"/>
      <c r="D7" s="109"/>
      <c r="E7" s="110" t="s">
        <v>252</v>
      </c>
      <c r="F7" s="112"/>
      <c r="G7" s="109"/>
    </row>
    <row r="8" ht="22.5" customHeight="1">
      <c r="A8" s="109"/>
      <c r="B8" s="112"/>
      <c r="C8" s="112"/>
      <c r="D8" s="109"/>
      <c r="E8" s="112"/>
      <c r="F8" s="112"/>
      <c r="G8" s="109"/>
    </row>
    <row r="9" ht="22.5" customHeight="1">
      <c r="A9" s="109"/>
      <c r="B9" s="112"/>
      <c r="C9" s="112"/>
      <c r="D9" s="109"/>
      <c r="E9" s="112"/>
      <c r="F9" s="112"/>
      <c r="G9" s="109"/>
    </row>
    <row r="10" ht="22.5" customHeight="1">
      <c r="A10" s="109"/>
      <c r="B10" s="112"/>
      <c r="C10" s="112"/>
      <c r="D10" s="109"/>
      <c r="E10" s="112"/>
      <c r="F10" s="112"/>
      <c r="G10" s="109"/>
    </row>
    <row r="11" ht="22.5" customHeight="1">
      <c r="A11" s="109"/>
      <c r="B11" s="112"/>
      <c r="C11" s="112"/>
      <c r="D11" s="109"/>
      <c r="E11" s="112"/>
      <c r="F11" s="112"/>
      <c r="G11" s="109"/>
    </row>
    <row r="12" ht="22.5" customHeight="1">
      <c r="A12" s="109"/>
      <c r="B12" s="112"/>
      <c r="C12" s="112"/>
      <c r="D12" s="109"/>
      <c r="E12" s="112"/>
      <c r="F12" s="112"/>
      <c r="G12" s="109"/>
    </row>
    <row r="13" ht="22.5" customHeight="1">
      <c r="A13" s="109"/>
      <c r="B13" s="112"/>
      <c r="C13" s="112"/>
      <c r="D13" s="109"/>
      <c r="E13" s="112"/>
      <c r="F13" s="112"/>
      <c r="G13" s="109"/>
    </row>
    <row r="14" ht="22.5" customHeight="1">
      <c r="A14" s="109"/>
      <c r="B14" s="112"/>
      <c r="C14" s="112"/>
      <c r="D14" s="109"/>
      <c r="E14" s="112"/>
      <c r="F14" s="112"/>
      <c r="G14" s="109"/>
    </row>
    <row r="15" ht="22.5" customHeight="1">
      <c r="A15" s="109"/>
      <c r="B15" s="112"/>
      <c r="C15" s="112"/>
      <c r="D15" s="109"/>
      <c r="E15" s="112"/>
      <c r="F15" s="112"/>
      <c r="G15" s="109"/>
    </row>
  </sheetData>
  <dataValidations>
    <dataValidation type="list" allowBlank="1" sqref="B2:B15">
      <formula1>"Category 1,Category 2,Category 3,Category 4"</formula1>
    </dataValidation>
    <dataValidation type="list" allowBlank="1" sqref="C2:C15">
      <formula1>"Not started,In progress,Blocked,Launched"</formula1>
    </dataValidation>
    <dataValidation allowBlank="1" showDropDown="1" sqref="A2:A15 G2:G15"/>
    <dataValidation type="list" allowBlank="1" sqref="F2:F15">
      <formula1>"Q1,Q2,Q3,Q4"</formula1>
    </dataValidation>
    <dataValidation type="list" allowBlank="1" sqref="E2:E15">
      <formula1>"XS,S,M,L,XL,XXL"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57"/>
    <col customWidth="1" min="2" max="2" width="20.14"/>
    <col customWidth="1" min="3" max="4" width="17.29"/>
    <col customWidth="1" min="5" max="6" width="20.14"/>
    <col customWidth="1" min="7" max="7" width="17.29"/>
  </cols>
  <sheetData>
    <row r="1" ht="22.5" customHeight="1">
      <c r="A1" s="108" t="s">
        <v>232</v>
      </c>
      <c r="B1" s="108" t="s">
        <v>233</v>
      </c>
      <c r="C1" s="108" t="s">
        <v>217</v>
      </c>
      <c r="D1" s="108" t="s">
        <v>216</v>
      </c>
      <c r="E1" s="108" t="s">
        <v>234</v>
      </c>
      <c r="F1" s="108" t="s">
        <v>235</v>
      </c>
      <c r="G1" s="108" t="s">
        <v>220</v>
      </c>
    </row>
    <row r="2" ht="22.5" customHeight="1">
      <c r="A2" s="109"/>
      <c r="B2" s="110" t="s">
        <v>236</v>
      </c>
      <c r="C2" s="110" t="s">
        <v>237</v>
      </c>
      <c r="D2" s="109"/>
      <c r="E2" s="110" t="s">
        <v>238</v>
      </c>
      <c r="F2" s="110" t="s">
        <v>239</v>
      </c>
      <c r="G2" s="109"/>
    </row>
    <row r="3" ht="22.5" customHeight="1">
      <c r="A3" s="109"/>
      <c r="B3" s="110" t="s">
        <v>240</v>
      </c>
      <c r="C3" s="110" t="s">
        <v>224</v>
      </c>
      <c r="D3" s="109"/>
      <c r="E3" s="110" t="s">
        <v>241</v>
      </c>
      <c r="F3" s="110" t="s">
        <v>242</v>
      </c>
      <c r="G3" s="109"/>
    </row>
    <row r="4" ht="22.5" customHeight="1">
      <c r="A4" s="109"/>
      <c r="B4" s="110" t="s">
        <v>243</v>
      </c>
      <c r="C4" s="110" t="s">
        <v>244</v>
      </c>
      <c r="D4" s="109"/>
      <c r="E4" s="110" t="s">
        <v>245</v>
      </c>
      <c r="F4" s="110" t="s">
        <v>246</v>
      </c>
      <c r="G4" s="109"/>
    </row>
    <row r="5" ht="22.5" customHeight="1">
      <c r="A5" s="109"/>
      <c r="B5" s="110" t="s">
        <v>247</v>
      </c>
      <c r="C5" s="110" t="s">
        <v>248</v>
      </c>
      <c r="D5" s="109"/>
      <c r="E5" s="110" t="s">
        <v>249</v>
      </c>
      <c r="F5" s="110" t="s">
        <v>250</v>
      </c>
      <c r="G5" s="109"/>
    </row>
    <row r="6" ht="22.5" customHeight="1">
      <c r="A6" s="109"/>
      <c r="B6" s="112"/>
      <c r="C6" s="112"/>
      <c r="D6" s="109"/>
      <c r="E6" s="110" t="s">
        <v>251</v>
      </c>
      <c r="F6" s="112"/>
      <c r="G6" s="109"/>
    </row>
    <row r="7" ht="22.5" customHeight="1">
      <c r="A7" s="109"/>
      <c r="B7" s="112"/>
      <c r="C7" s="112"/>
      <c r="D7" s="109"/>
      <c r="E7" s="110" t="s">
        <v>252</v>
      </c>
      <c r="F7" s="112"/>
      <c r="G7" s="109"/>
    </row>
    <row r="8" ht="22.5" customHeight="1">
      <c r="A8" s="109"/>
      <c r="B8" s="112"/>
      <c r="C8" s="112"/>
      <c r="D8" s="109"/>
      <c r="E8" s="112"/>
      <c r="F8" s="112"/>
      <c r="G8" s="109"/>
    </row>
    <row r="9" ht="22.5" customHeight="1">
      <c r="A9" s="109"/>
      <c r="B9" s="112"/>
      <c r="C9" s="112"/>
      <c r="D9" s="109"/>
      <c r="E9" s="112"/>
      <c r="F9" s="112"/>
      <c r="G9" s="109"/>
    </row>
    <row r="10" ht="22.5" customHeight="1">
      <c r="A10" s="109"/>
      <c r="B10" s="112"/>
      <c r="C10" s="112"/>
      <c r="D10" s="109"/>
      <c r="E10" s="112"/>
      <c r="F10" s="112"/>
      <c r="G10" s="109"/>
    </row>
    <row r="11" ht="22.5" customHeight="1">
      <c r="A11" s="109"/>
      <c r="B11" s="112"/>
      <c r="C11" s="112"/>
      <c r="D11" s="109"/>
      <c r="E11" s="112"/>
      <c r="F11" s="112"/>
      <c r="G11" s="109"/>
    </row>
    <row r="12" ht="22.5" customHeight="1">
      <c r="A12" s="109"/>
      <c r="B12" s="112"/>
      <c r="C12" s="112"/>
      <c r="D12" s="109"/>
      <c r="E12" s="112"/>
      <c r="F12" s="112"/>
      <c r="G12" s="109"/>
    </row>
    <row r="13" ht="22.5" customHeight="1">
      <c r="A13" s="109"/>
      <c r="B13" s="112"/>
      <c r="C13" s="112"/>
      <c r="D13" s="109"/>
      <c r="E13" s="112"/>
      <c r="F13" s="112"/>
      <c r="G13" s="109"/>
    </row>
    <row r="14" ht="22.5" customHeight="1">
      <c r="A14" s="109"/>
      <c r="B14" s="112"/>
      <c r="C14" s="112"/>
      <c r="D14" s="109"/>
      <c r="E14" s="112"/>
      <c r="F14" s="112"/>
      <c r="G14" s="109"/>
    </row>
    <row r="15" ht="22.5" customHeight="1">
      <c r="A15" s="109"/>
      <c r="B15" s="112"/>
      <c r="C15" s="112"/>
      <c r="D15" s="109"/>
      <c r="E15" s="112"/>
      <c r="F15" s="112"/>
      <c r="G15" s="109"/>
    </row>
  </sheetData>
  <dataValidations>
    <dataValidation type="list" allowBlank="1" sqref="B2:B15">
      <formula1>"Category 1,Category 2,Category 3,Category 4"</formula1>
    </dataValidation>
    <dataValidation type="list" allowBlank="1" sqref="C2:C15">
      <formula1>"Not started,In progress,Blocked,Launched"</formula1>
    </dataValidation>
    <dataValidation allowBlank="1" showDropDown="1" sqref="A2:A15 G2:G15"/>
    <dataValidation type="list" allowBlank="1" sqref="F2:F15">
      <formula1>"Q1,Q2,Q3,Q4"</formula1>
    </dataValidation>
    <dataValidation type="list" allowBlank="1" sqref="E2:E15">
      <formula1>"XS,S,M,L,XL,XXL"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3.0"/>
    <col customWidth="1" min="3" max="3" width="20.14"/>
    <col customWidth="1" min="4" max="5" width="17.29"/>
    <col customWidth="1" min="6" max="6" width="20.14"/>
    <col customWidth="1" min="7" max="8" width="17.29"/>
  </cols>
  <sheetData>
    <row r="1" ht="22.5" customHeight="1">
      <c r="A1" s="108" t="s">
        <v>253</v>
      </c>
      <c r="B1" s="108" t="s">
        <v>254</v>
      </c>
      <c r="C1" s="108" t="s">
        <v>255</v>
      </c>
      <c r="D1" s="108" t="s">
        <v>256</v>
      </c>
      <c r="E1" s="108" t="s">
        <v>257</v>
      </c>
      <c r="F1" s="108" t="s">
        <v>258</v>
      </c>
      <c r="G1" s="108" t="s">
        <v>259</v>
      </c>
      <c r="H1" s="108" t="s">
        <v>220</v>
      </c>
    </row>
    <row r="2" ht="22.5" customHeight="1">
      <c r="A2" s="109"/>
      <c r="B2" s="110" t="s">
        <v>260</v>
      </c>
      <c r="C2" s="109"/>
      <c r="D2" s="110" t="s">
        <v>261</v>
      </c>
      <c r="E2" s="109"/>
      <c r="F2" s="109"/>
      <c r="G2" s="113">
        <v>0.0</v>
      </c>
      <c r="H2" s="109"/>
    </row>
    <row r="3" ht="22.5" customHeight="1">
      <c r="A3" s="109"/>
      <c r="B3" s="110" t="s">
        <v>262</v>
      </c>
      <c r="C3" s="109"/>
      <c r="D3" s="110" t="s">
        <v>263</v>
      </c>
      <c r="E3" s="109"/>
      <c r="F3" s="109"/>
      <c r="G3" s="113">
        <v>0.0</v>
      </c>
      <c r="H3" s="109"/>
    </row>
    <row r="4" ht="22.5" customHeight="1">
      <c r="A4" s="109"/>
      <c r="B4" s="110" t="s">
        <v>264</v>
      </c>
      <c r="C4" s="109"/>
      <c r="D4" s="110" t="s">
        <v>265</v>
      </c>
      <c r="E4" s="109"/>
      <c r="F4" s="109"/>
      <c r="G4" s="113">
        <v>0.0</v>
      </c>
      <c r="H4" s="109"/>
    </row>
    <row r="5" ht="22.5" customHeight="1">
      <c r="A5" s="109"/>
      <c r="B5" s="110" t="s">
        <v>266</v>
      </c>
      <c r="C5" s="109"/>
      <c r="D5" s="110" t="s">
        <v>267</v>
      </c>
      <c r="E5" s="109"/>
      <c r="F5" s="109"/>
      <c r="G5" s="113">
        <v>0.0</v>
      </c>
      <c r="H5" s="109"/>
    </row>
    <row r="6" ht="22.5" customHeight="1">
      <c r="A6" s="109"/>
      <c r="B6" s="112"/>
      <c r="C6" s="109"/>
      <c r="D6" s="112"/>
      <c r="E6" s="109"/>
      <c r="F6" s="109"/>
      <c r="G6" s="113">
        <v>0.0</v>
      </c>
      <c r="H6" s="109"/>
    </row>
    <row r="7" ht="22.5" customHeight="1">
      <c r="A7" s="109"/>
      <c r="B7" s="112"/>
      <c r="C7" s="109"/>
      <c r="D7" s="112"/>
      <c r="E7" s="109"/>
      <c r="F7" s="109"/>
      <c r="G7" s="113">
        <v>0.0</v>
      </c>
      <c r="H7" s="109"/>
    </row>
    <row r="8" ht="22.5" customHeight="1">
      <c r="A8" s="109"/>
      <c r="B8" s="112"/>
      <c r="C8" s="109"/>
      <c r="D8" s="112"/>
      <c r="E8" s="109"/>
      <c r="F8" s="109"/>
      <c r="G8" s="113">
        <v>0.0</v>
      </c>
      <c r="H8" s="109"/>
    </row>
    <row r="9" ht="22.5" customHeight="1">
      <c r="A9" s="109"/>
      <c r="B9" s="112"/>
      <c r="C9" s="109"/>
      <c r="D9" s="112"/>
      <c r="E9" s="109"/>
      <c r="F9" s="109"/>
      <c r="G9" s="113">
        <v>0.0</v>
      </c>
      <c r="H9" s="109"/>
    </row>
    <row r="10" ht="22.5" customHeight="1">
      <c r="A10" s="109"/>
      <c r="B10" s="112"/>
      <c r="C10" s="109"/>
      <c r="D10" s="112"/>
      <c r="E10" s="109"/>
      <c r="F10" s="109"/>
      <c r="G10" s="113">
        <v>0.0</v>
      </c>
      <c r="H10" s="109"/>
    </row>
    <row r="11" ht="22.5" customHeight="1">
      <c r="A11" s="109"/>
      <c r="B11" s="112"/>
      <c r="C11" s="109"/>
      <c r="D11" s="112"/>
      <c r="E11" s="109"/>
      <c r="F11" s="109"/>
      <c r="G11" s="113">
        <v>0.0</v>
      </c>
      <c r="H11" s="109"/>
    </row>
    <row r="12" ht="22.5" customHeight="1">
      <c r="A12" s="109"/>
      <c r="B12" s="112"/>
      <c r="C12" s="109"/>
      <c r="D12" s="112"/>
      <c r="E12" s="109"/>
      <c r="F12" s="109"/>
      <c r="G12" s="113">
        <v>0.0</v>
      </c>
      <c r="H12" s="109"/>
    </row>
    <row r="13" ht="22.5" customHeight="1">
      <c r="A13" s="109"/>
      <c r="B13" s="112"/>
      <c r="C13" s="109"/>
      <c r="D13" s="112"/>
      <c r="E13" s="109"/>
      <c r="F13" s="109"/>
      <c r="G13" s="113">
        <v>0.0</v>
      </c>
      <c r="H13" s="109"/>
    </row>
    <row r="14" ht="22.5" customHeight="1">
      <c r="A14" s="109"/>
      <c r="B14" s="112"/>
      <c r="C14" s="109"/>
      <c r="D14" s="112"/>
      <c r="E14" s="109"/>
      <c r="F14" s="109"/>
      <c r="G14" s="113">
        <v>0.0</v>
      </c>
      <c r="H14" s="109"/>
    </row>
    <row r="15" ht="22.5" customHeight="1">
      <c r="A15" s="109"/>
      <c r="B15" s="112"/>
      <c r="C15" s="109"/>
      <c r="D15" s="112"/>
      <c r="E15" s="109"/>
      <c r="F15" s="109"/>
      <c r="G15" s="113">
        <v>0.0</v>
      </c>
      <c r="H15" s="109"/>
    </row>
  </sheetData>
  <dataValidations>
    <dataValidation type="list" allowBlank="1" sqref="B2:B15">
      <formula1>"Hire,Interviewing,Decision needed,No hire"</formula1>
    </dataValidation>
    <dataValidation type="list" allowBlank="1" showErrorMessage="1" sqref="G2:G15">
      <formula1>"0,1,2,3,4,5"</formula1>
    </dataValidation>
    <dataValidation type="list" allowBlank="1" sqref="D2:D15">
      <formula1>"Team 1,Team 2,Team 3,Team 4"</formula1>
    </dataValidation>
    <dataValidation allowBlank="1" showDropDown="1" sqref="C2:C15 H2:H15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43"/>
    <col customWidth="1" min="2" max="5" width="25.86"/>
    <col customWidth="1" min="6" max="6" width="17.29"/>
  </cols>
  <sheetData>
    <row r="1" ht="22.5" customHeight="1">
      <c r="A1" s="108" t="s">
        <v>268</v>
      </c>
      <c r="B1" s="108" t="s">
        <v>217</v>
      </c>
      <c r="C1" s="108" t="s">
        <v>216</v>
      </c>
      <c r="D1" s="108" t="s">
        <v>254</v>
      </c>
      <c r="E1" s="108" t="s">
        <v>269</v>
      </c>
      <c r="F1" s="108" t="s">
        <v>220</v>
      </c>
    </row>
    <row r="2" ht="22.5" customHeight="1">
      <c r="A2" s="109"/>
      <c r="B2" s="110" t="s">
        <v>237</v>
      </c>
      <c r="C2" s="109"/>
      <c r="D2" s="110" t="s">
        <v>270</v>
      </c>
      <c r="E2" s="111"/>
      <c r="F2" s="109"/>
    </row>
    <row r="3" ht="22.5" customHeight="1">
      <c r="A3" s="109"/>
      <c r="B3" s="110" t="s">
        <v>224</v>
      </c>
      <c r="C3" s="109"/>
      <c r="D3" s="110" t="s">
        <v>271</v>
      </c>
      <c r="E3" s="111"/>
      <c r="F3" s="109"/>
    </row>
    <row r="4" ht="22.5" customHeight="1">
      <c r="A4" s="109"/>
      <c r="B4" s="110" t="s">
        <v>244</v>
      </c>
      <c r="C4" s="109"/>
      <c r="D4" s="110" t="s">
        <v>272</v>
      </c>
      <c r="E4" s="111"/>
      <c r="F4" s="109"/>
    </row>
    <row r="5" ht="22.5" customHeight="1">
      <c r="A5" s="109"/>
      <c r="B5" s="110" t="s">
        <v>273</v>
      </c>
      <c r="C5" s="109"/>
      <c r="D5" s="112"/>
      <c r="E5" s="111"/>
      <c r="F5" s="109"/>
    </row>
    <row r="6" ht="22.5" customHeight="1">
      <c r="A6" s="109"/>
      <c r="B6" s="112"/>
      <c r="C6" s="109"/>
      <c r="D6" s="112"/>
      <c r="E6" s="111"/>
      <c r="F6" s="109"/>
    </row>
    <row r="7" ht="22.5" customHeight="1">
      <c r="A7" s="109"/>
      <c r="B7" s="112"/>
      <c r="C7" s="109"/>
      <c r="D7" s="112"/>
      <c r="E7" s="111"/>
      <c r="F7" s="109"/>
    </row>
    <row r="8" ht="22.5" customHeight="1">
      <c r="A8" s="109"/>
      <c r="B8" s="112"/>
      <c r="C8" s="109"/>
      <c r="D8" s="112"/>
      <c r="E8" s="111"/>
      <c r="F8" s="109"/>
    </row>
    <row r="9" ht="22.5" customHeight="1">
      <c r="A9" s="109"/>
      <c r="B9" s="112"/>
      <c r="C9" s="109"/>
      <c r="D9" s="112"/>
      <c r="E9" s="111"/>
      <c r="F9" s="109"/>
    </row>
    <row r="10" ht="22.5" customHeight="1">
      <c r="A10" s="109"/>
      <c r="B10" s="112"/>
      <c r="C10" s="109"/>
      <c r="D10" s="112"/>
      <c r="E10" s="111"/>
      <c r="F10" s="109"/>
    </row>
    <row r="11" ht="22.5" customHeight="1">
      <c r="A11" s="109"/>
      <c r="B11" s="112"/>
      <c r="C11" s="109"/>
      <c r="D11" s="112"/>
      <c r="E11" s="111"/>
      <c r="F11" s="109"/>
    </row>
    <row r="12" ht="22.5" customHeight="1">
      <c r="A12" s="109"/>
      <c r="B12" s="112"/>
      <c r="C12" s="109"/>
      <c r="D12" s="112"/>
      <c r="E12" s="111"/>
      <c r="F12" s="109"/>
    </row>
    <row r="13" ht="22.5" customHeight="1">
      <c r="A13" s="109"/>
      <c r="B13" s="112"/>
      <c r="C13" s="109"/>
      <c r="D13" s="112"/>
      <c r="E13" s="111"/>
      <c r="F13" s="109"/>
    </row>
    <row r="14" ht="22.5" customHeight="1">
      <c r="A14" s="109"/>
      <c r="B14" s="112"/>
      <c r="C14" s="109"/>
      <c r="D14" s="112"/>
      <c r="E14" s="111"/>
      <c r="F14" s="109"/>
    </row>
    <row r="15" ht="22.5" customHeight="1">
      <c r="A15" s="109"/>
      <c r="B15" s="112"/>
      <c r="C15" s="109"/>
      <c r="D15" s="112"/>
      <c r="E15" s="111"/>
      <c r="F15" s="109"/>
    </row>
  </sheetData>
  <dataValidations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B2:B15">
      <formula1>"Not started,In progress,Blocked,Completed"</formula1>
    </dataValidation>
    <dataValidation type="list" allowBlank="1" sqref="D2:D15">
      <formula1>"Pre-event,Day of,Post-event"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2026-04-04T07:06:04Z</dcterms:created>
  <dc:creator>USER1</dc:creator>
</cp:coreProperties>
</file>